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_Reference" sheetId="1" state="visible" r:id="rId3"/>
    <sheet name="Index" sheetId="2" state="visible" r:id="rId4"/>
    <sheet name="Ch3_Planetary_Qualities" sheetId="3" state="visible" r:id="rId5"/>
    <sheet name="Ch4_Lunar_Mansions" sheetId="4" state="visible" r:id="rId6"/>
    <sheet name="Ch4_Electional_Rules" sheetId="5" state="visible" r:id="rId7"/>
    <sheet name="Lilly_Essential_Dignities" sheetId="6" state="visible" r:id="rId8"/>
    <sheet name="Gloss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<sst xmlns="http://schemas.openxmlformats.org/spreadsheetml/2006/main" count="561" uniqueCount="368">
  <si>
    <t xml:space="preserve">PICATRIX BOOK 1 — CALCULATION REFERENCE CONSTANTS</t>
  </si>
  <si>
    <t xml:space="preserve">MANSION_WIDTH (360 / 28, degrees)</t>
  </si>
  <si>
    <t xml:space="preserve">Under-the-rays / combustion band (deg from Sun)</t>
  </si>
  <si>
    <t xml:space="preserve">Via Combusta start (abs deg, 8° Libra)</t>
  </si>
  <si>
    <t xml:space="preserve">Via Combusta end (abs deg, 3° Scorpio)</t>
  </si>
  <si>
    <t xml:space="preserve">Moon "slow" threshold (deg/day)</t>
  </si>
  <si>
    <t xml:space="preserve">Zodiac signs (index 1–12, used by mansion formulas)</t>
  </si>
  <si>
    <t xml:space="preserve">Aries</t>
  </si>
  <si>
    <t xml:space="preserve">Taurus</t>
  </si>
  <si>
    <t xml:space="preserve">Gemini</t>
  </si>
  <si>
    <t xml:space="preserve">Cancer</t>
  </si>
  <si>
    <t xml:space="preserve">Leo</t>
  </si>
  <si>
    <t xml:space="preserve">Virgo</t>
  </si>
  <si>
    <t xml:space="preserve">Libra</t>
  </si>
  <si>
    <t xml:space="preserve">Scorpio</t>
  </si>
  <si>
    <t xml:space="preserve">Sagittarius</t>
  </si>
  <si>
    <t xml:space="preserve">Capricorn</t>
  </si>
  <si>
    <t xml:space="preserve">Aquarius</t>
  </si>
  <si>
    <t xml:space="preserve">Pisces</t>
  </si>
  <si>
    <t xml:space="preserve">PICATRIX (Greer &amp; Warnock, Liber Rubeus ed.) — MASTER INDEX</t>
  </si>
  <si>
    <t xml:space="preserve">Project scaffold. Book 1 indexed; Ch.3–4 fully detailed in this workbook &amp; companion files. Page nos. = printed pages of this edition.</t>
  </si>
  <si>
    <t xml:space="preserve">Book</t>
  </si>
  <si>
    <t xml:space="preserve">Chapter</t>
  </si>
  <si>
    <t xml:space="preserve">Title (as printed)</t>
  </si>
  <si>
    <t xml:space="preserve">Pg</t>
  </si>
  <si>
    <t xml:space="preserve">Status</t>
  </si>
  <si>
    <t xml:space="preserve">Book 1</t>
  </si>
  <si>
    <t xml:space="preserve">1</t>
  </si>
  <si>
    <t xml:space="preserve">How you may know your degree in the universe</t>
  </si>
  <si>
    <t xml:space="preserve">25</t>
  </si>
  <si>
    <t xml:space="preserve">indexed</t>
  </si>
  <si>
    <t xml:space="preserve">2</t>
  </si>
  <si>
    <t xml:space="preserve">What magic is and what its properties are</t>
  </si>
  <si>
    <t xml:space="preserve">26</t>
  </si>
  <si>
    <t xml:space="preserve">3</t>
  </si>
  <si>
    <t xml:space="preserve">What the heavens are and what their substance is</t>
  </si>
  <si>
    <t xml:space="preserve">30</t>
  </si>
  <si>
    <t xml:space="preserve">★ DETAILED</t>
  </si>
  <si>
    <t xml:space="preserve">4</t>
  </si>
  <si>
    <t xml:space="preserve">The general theory and arrangement of the heavens for making magical images</t>
  </si>
  <si>
    <t xml:space="preserve">31</t>
  </si>
  <si>
    <t xml:space="preserve">5</t>
  </si>
  <si>
    <t xml:space="preserve">Examples of the theory of images, and things needful for making them</t>
  </si>
  <si>
    <t xml:space="preserve">39</t>
  </si>
  <si>
    <t xml:space="preserve">6</t>
  </si>
  <si>
    <t xml:space="preserve">In what degree everything exists; man as a lesser world (microcosm)</t>
  </si>
  <si>
    <t xml:space="preserve">52</t>
  </si>
  <si>
    <t xml:space="preserve">7</t>
  </si>
  <si>
    <t xml:space="preserve">In what degree everything in the universe exists; hidden profundities</t>
  </si>
  <si>
    <t xml:space="preserve">55</t>
  </si>
  <si>
    <t xml:space="preserve">Book 2</t>
  </si>
  <si>
    <t xml:space="preserve">How it is possible to learn this science</t>
  </si>
  <si>
    <t xml:space="preserve">scaffold</t>
  </si>
  <si>
    <t xml:space="preserve">The images of heaven and their secrets</t>
  </si>
  <si>
    <t xml:space="preserve">All the works of the planets, the Sun, and the Moon</t>
  </si>
  <si>
    <t xml:space="preserve">The motion of the eighth sphere and the fixed stars</t>
  </si>
  <si>
    <t xml:space="preserve">The division of this science among nations</t>
  </si>
  <si>
    <t xml:space="preserve">The virtues of images and how they receive planetary powers (foundation of the science)</t>
  </si>
  <si>
    <t xml:space="preserve">How to work dialectically in the science of magical images</t>
  </si>
  <si>
    <t xml:space="preserve">8</t>
  </si>
  <si>
    <t xml:space="preserve">The order of natural things and how they enter this science</t>
  </si>
  <si>
    <t xml:space="preserve">9</t>
  </si>
  <si>
    <t xml:space="preserve">Figures &amp; forms of images that call down planetary assistance</t>
  </si>
  <si>
    <t xml:space="preserve">10</t>
  </si>
  <si>
    <t xml:space="preserve">The stones proper to each planet and the formation of figures</t>
  </si>
  <si>
    <t xml:space="preserve">11</t>
  </si>
  <si>
    <t xml:space="preserve">The images of the faces of the signs and their effects</t>
  </si>
  <si>
    <t xml:space="preserve">12</t>
  </si>
  <si>
    <t xml:space="preserve">The figures &amp; degrees of the signs (per the Hindus) and how virtues are attracted</t>
  </si>
  <si>
    <t xml:space="preserve">Book 3</t>
  </si>
  <si>
    <t xml:space="preserve">The parts of the planets in plants, animals and metals</t>
  </si>
  <si>
    <t xml:space="preserve">133</t>
  </si>
  <si>
    <t xml:space="preserve">The parts of the signs in plants, animals, and minerals</t>
  </si>
  <si>
    <t xml:space="preserve">137</t>
  </si>
  <si>
    <t xml:space="preserve">Figures, colors, garments, incenses of the planets; colors of the faces</t>
  </si>
  <si>
    <t xml:space="preserve">140</t>
  </si>
  <si>
    <t xml:space="preserve">Why the secrets may be understood only a little at a time</t>
  </si>
  <si>
    <t xml:space="preserve">143</t>
  </si>
  <si>
    <t xml:space="preserve">Virtues of animals; attracting planetary spirits by figures &amp; suffumigations</t>
  </si>
  <si>
    <t xml:space="preserve">The magistery of drawing planetary spirits with natural things</t>
  </si>
  <si>
    <t xml:space="preserve">150</t>
  </si>
  <si>
    <t xml:space="preserve">Attracting &amp; speaking with planetary virtues; their division &amp; required sky-states</t>
  </si>
  <si>
    <t xml:space="preserve">154</t>
  </si>
  <si>
    <t xml:space="preserve">The Nabatean way of prayer to the Sun and Saturn</t>
  </si>
  <si>
    <t xml:space="preserve">182</t>
  </si>
  <si>
    <t xml:space="preserve">Attracting each planet’s powers &amp; spirits by naming their parts</t>
  </si>
  <si>
    <t xml:space="preserve">Confections of planetary spirits; food, suffumigations, unguents, odors</t>
  </si>
  <si>
    <t xml:space="preserve">192</t>
  </si>
  <si>
    <t xml:space="preserve">Effects of magical images; alterations of sight, sleep, poisons</t>
  </si>
  <si>
    <t xml:space="preserve">204</t>
  </si>
  <si>
    <t xml:space="preserve">(concluding chapter of Book 3)</t>
  </si>
  <si>
    <t xml:space="preserve">Book 4</t>
  </si>
  <si>
    <t xml:space="preserve">1–9</t>
  </si>
  <si>
    <t xml:space="preserve">Talismanic &amp; Nabatean/Chaldean material, the Perfect Nature, suffumigations, etc.</t>
  </si>
  <si>
    <t xml:space="preserve">to index</t>
  </si>
  <si>
    <t xml:space="preserve">BOOK 1, CH. 3 — ELEMENTAL QUALITIES OF THE PLANETS</t>
  </si>
  <si>
    <t xml:space="preserve">Doctrine: the rays of each body move things of a corresponding quality; the Sun draws out / amplifies a planet’s virtue. A planet acting with its own nature is stronger; against it, weaker. Source: Picatrix B1 Ch3 (p.30).</t>
  </si>
  <si>
    <t xml:space="preserve">Body</t>
  </si>
  <si>
    <t xml:space="preserve">Quality (per text)</t>
  </si>
  <si>
    <t xml:space="preserve">Element</t>
  </si>
  <si>
    <t xml:space="preserve">Role / note</t>
  </si>
  <si>
    <t xml:space="preserve">Source</t>
  </si>
  <si>
    <t xml:space="preserve">Saturn</t>
  </si>
  <si>
    <t xml:space="preserve">cold and dry</t>
  </si>
  <si>
    <t xml:space="preserve">Earth</t>
  </si>
  <si>
    <t xml:space="preserve">greater infortune; cold/dry</t>
  </si>
  <si>
    <t xml:space="preserve">B1 Ch3, p.30</t>
  </si>
  <si>
    <t xml:space="preserve">Jupiter</t>
  </si>
  <si>
    <t xml:space="preserve">warm and moist</t>
  </si>
  <si>
    <t xml:space="preserve">Air</t>
  </si>
  <si>
    <t xml:space="preserve">greater fortune; temperate, warm/moist</t>
  </si>
  <si>
    <t xml:space="preserve">Mars</t>
  </si>
  <si>
    <t xml:space="preserve">hot and dry</t>
  </si>
  <si>
    <t xml:space="preserve">Fire</t>
  </si>
  <si>
    <t xml:space="preserve">lesser infortune; hot/dry, burning</t>
  </si>
  <si>
    <t xml:space="preserve">Sun</t>
  </si>
  <si>
    <t xml:space="preserve">hot and dry (amplifier)</t>
  </si>
  <si>
    <t xml:space="preserve">Ch.3: the Sun *attracts/draws out* a planet’s virtue, increasing its effect</t>
  </si>
  <si>
    <t xml:space="preserve">Venus</t>
  </si>
  <si>
    <t xml:space="preserve">moderately hot, very moist</t>
  </si>
  <si>
    <t xml:space="preserve">Air/Water</t>
  </si>
  <si>
    <t xml:space="preserve">lesser fortune; temperately warm, very moist</t>
  </si>
  <si>
    <t xml:space="preserve">Mercury</t>
  </si>
  <si>
    <t xml:space="preserve">weakly hot, very dry</t>
  </si>
  <si>
    <t xml:space="preserve">Earth/Air</t>
  </si>
  <si>
    <t xml:space="preserve">convertible; faintly warm, very dry</t>
  </si>
  <si>
    <t xml:space="preserve">Moon</t>
  </si>
  <si>
    <t xml:space="preserve">cold and moist</t>
  </si>
  <si>
    <t xml:space="preserve">Water</t>
  </si>
  <si>
    <t xml:space="preserve">governs all beneath her; cold/moist</t>
  </si>
  <si>
    <t xml:space="preserve">Fixed stars</t>
  </si>
  <si>
    <t xml:space="preserve">as the Moon (cold and moist)</t>
  </si>
  <si>
    <t xml:space="preserve">Ch.3: fixed stars move the same things as Luna</t>
  </si>
  <si>
    <t xml:space="preserve">BOOK 1, CH. 4 — THE 28 MANSIONS OF THE MOON</t>
  </si>
  <si>
    <t xml:space="preserve">Each mansion spans 360/28 = 12°51′25.7″ from 0° Aries. Degree columns are live formulas. Operations are paraphrased keyword summaries (not verbatim). Source: B1 Ch4 (pp.31–38).</t>
  </si>
  <si>
    <t xml:space="preserve">#</t>
  </si>
  <si>
    <t xml:space="preserve">Latin name (this ed.)</t>
  </si>
  <si>
    <t xml:space="preserve">Arabic name</t>
  </si>
  <si>
    <t xml:space="preserve">Start° (abs)</t>
  </si>
  <si>
    <t xml:space="preserve">End° (abs)</t>
  </si>
  <si>
    <t xml:space="preserve">Start sign</t>
  </si>
  <si>
    <t xml:space="preserve">Start° in sign</t>
  </si>
  <si>
    <t xml:space="preserve">Span</t>
  </si>
  <si>
    <t xml:space="preserve">Operations (paraphrased)</t>
  </si>
  <si>
    <t xml:space="preserve">Alnath</t>
  </si>
  <si>
    <t xml:space="preserve">Al-Sharatain</t>
  </si>
  <si>
    <t xml:space="preserve">0°00′ Aries – 12°51′ Aries</t>
  </si>
  <si>
    <t xml:space="preserve">safe journeys &amp; return; medicines; sow discord between spouses/friends/allies; make servants flee</t>
  </si>
  <si>
    <t xml:space="preserve">Albotain</t>
  </si>
  <si>
    <t xml:space="preserve">Al-Butain</t>
  </si>
  <si>
    <t xml:space="preserve">12°51′ Aries – 25°43′ Aries</t>
  </si>
  <si>
    <t xml:space="preserve">dig wells/streams; find treasure; plant wheat; wreck unfinished buildings; enrage one against another; strengthen imprisonment</t>
  </si>
  <si>
    <t xml:space="preserve">Azoraya</t>
  </si>
  <si>
    <t xml:space="preserve">Al-Thuraiya</t>
  </si>
  <si>
    <t xml:space="preserve">25°43′ Aries – 8°34′ Taurus</t>
  </si>
  <si>
    <t xml:space="preserve">safe sea travel; firm imprisonment; alchemy &amp; fire-works; hunting; love between spouses</t>
  </si>
  <si>
    <t xml:space="preserve">Aldebaran</t>
  </si>
  <si>
    <t xml:space="preserve">Al-Dabaran</t>
  </si>
  <si>
    <t xml:space="preserve">8°34′ Taurus – 21°26′ Taurus</t>
  </si>
  <si>
    <t xml:space="preserve">destroy cities/buildings; turn lord against servant; discord between spouses; destroy springs/treasure-seekers; kill/bind venomous animals</t>
  </si>
  <si>
    <t xml:space="preserve">Almices</t>
  </si>
  <si>
    <t xml:space="preserve">Al-Haqa</t>
  </si>
  <si>
    <t xml:space="preserve">21°26′ Taurus – 4°17′ Gemini</t>
  </si>
  <si>
    <t xml:space="preserve">youths learn arts/trades; protect &amp; speed travelers/sailors; improve buildings; break a friendship; favor between spouses (work Moon rising in a humane sign)</t>
  </si>
  <si>
    <t xml:space="preserve">Athaya</t>
  </si>
  <si>
    <t xml:space="preserve">Al-Hana</t>
  </si>
  <si>
    <t xml:space="preserve">4°17′ Gemini – 17°09′ Gemini</t>
  </si>
  <si>
    <t xml:space="preserve">destroy &amp; besiege cities; vengeance for kings’ enemies; ruin crops/trees; cause friendship; improve hunting; nullify medicines</t>
  </si>
  <si>
    <t xml:space="preserve">Aldirah</t>
  </si>
  <si>
    <t xml:space="preserve">Al-Dhira</t>
  </si>
  <si>
    <t xml:space="preserve">17°09′ Gemini – 0°00′ Cancer</t>
  </si>
  <si>
    <t xml:space="preserve">increase merchandise &amp; profit; safe travel &amp; sailing; increase crops; friendship of allies; expel flies; favor before kings/nobles</t>
  </si>
  <si>
    <t xml:space="preserve">Annathra</t>
  </si>
  <si>
    <t xml:space="preserve">Al-Nathrah</t>
  </si>
  <si>
    <t xml:space="preserve">0°00′ Cancer – 12°51′ Cancer</t>
  </si>
  <si>
    <t xml:space="preserve">love &amp; friendship; safe wagon travel; bind allies in friendship; firm imprisonment; afflict captives; expel mice/bugs</t>
  </si>
  <si>
    <t xml:space="preserve">Atarf</t>
  </si>
  <si>
    <t xml:space="preserve">Al-Tarf</t>
  </si>
  <si>
    <t xml:space="preserve">12°51′ Cancer – 25°43′ Cancer</t>
  </si>
  <si>
    <t xml:space="preserve">destroy crops; misfortune to travelers; do evil to men; hatred between allies; help a man defend against attack</t>
  </si>
  <si>
    <t xml:space="preserve">Algebha</t>
  </si>
  <si>
    <t xml:space="preserve">Al-Jabhah</t>
  </si>
  <si>
    <t xml:space="preserve">25°43′ Cancer – 8°34′ Leo</t>
  </si>
  <si>
    <t xml:space="preserve">love between spouses; destroy enemies; firm imprisonment; strengthen/complete buildings; love &amp; mutual aid of allies</t>
  </si>
  <si>
    <t xml:space="preserve">Azobra</t>
  </si>
  <si>
    <t xml:space="preserve">Al-Zubrah</t>
  </si>
  <si>
    <t xml:space="preserve">8°34′ Leo – 21°26′ Leo</t>
  </si>
  <si>
    <t xml:space="preserve">rescue captives; besiege cities; organize trade &amp; profit; safe travel; stabilize buildings; enrich allies</t>
  </si>
  <si>
    <t xml:space="preserve">Acarfa</t>
  </si>
  <si>
    <t xml:space="preserve">Al-Sarfah</t>
  </si>
  <si>
    <t xml:space="preserve">21°26′ Leo – 4°17′ Virgo</t>
  </si>
  <si>
    <t xml:space="preserve">increase harvests; destroy riches &amp; ships; make allies/officials/captives/servants steadfast &amp; honest</t>
  </si>
  <si>
    <t xml:space="preserve">Alahue</t>
  </si>
  <si>
    <t xml:space="preserve">Al-Awwa</t>
  </si>
  <si>
    <t xml:space="preserve">4°17′ Virgo – 17°09′ Virgo</t>
  </si>
  <si>
    <t xml:space="preserve">increase trade, profit &amp; harvests; good journeys; complete buildings; free captives; bind nobles for favor</t>
  </si>
  <si>
    <t xml:space="preserve">Azimech</t>
  </si>
  <si>
    <t xml:space="preserve">Al-Simak</t>
  </si>
  <si>
    <t xml:space="preserve">17°09′ Virgo – 0°00′ Libra</t>
  </si>
  <si>
    <t xml:space="preserve">love between spouses; heal the sick; destroy harvests; destroy lust; harm travelers; benefit kings; safe sailing; friendship of allies</t>
  </si>
  <si>
    <t xml:space="preserve">Algarfa</t>
  </si>
  <si>
    <t xml:space="preserve">Al-Ghafr</t>
  </si>
  <si>
    <t xml:space="preserve">0°00′ Libra – 12°51′ Libra</t>
  </si>
  <si>
    <t xml:space="preserve">dig wells; seek treasure; impede travelers; permanently separate spouses; discord among friends/allies; scatter enemies; destroy enemies’ house/reputation</t>
  </si>
  <si>
    <t xml:space="preserve">Azubene</t>
  </si>
  <si>
    <t xml:space="preserve">Al-Zubana</t>
  </si>
  <si>
    <t xml:space="preserve">12°51′ Libra – 25°43′ Libra</t>
  </si>
  <si>
    <t xml:space="preserve">destroy merchandise/harvests; discord between friends &amp; spouses; seduce a desired woman; impede travelers; free captives</t>
  </si>
  <si>
    <t xml:space="preserve">Alichil</t>
  </si>
  <si>
    <t xml:space="preserve">Al-Iklil</t>
  </si>
  <si>
    <t xml:space="preserve">25°43′ Libra – 8°34′ Scorpio</t>
  </si>
  <si>
    <t xml:space="preserve">improve deception; besiege cities; firm buildings; save sailors; create DURABLE friendship &amp; lasting love (especially this mansion)</t>
  </si>
  <si>
    <t xml:space="preserve">Alcalb</t>
  </si>
  <si>
    <t xml:space="preserve">Al-Qalb</t>
  </si>
  <si>
    <t xml:space="preserve">8°34′ Scorpio – 21°26′ Scorpio</t>
  </si>
  <si>
    <t xml:space="preserve">conspire against kings; vengeance on enemies; strong buildings; free captives; separate friends</t>
  </si>
  <si>
    <t xml:space="preserve">Exaula</t>
  </si>
  <si>
    <t xml:space="preserve">Al-Shaulah</t>
  </si>
  <si>
    <t xml:space="preserve">21°26′ Scorpio – 4°17′ Sagittarius</t>
  </si>
  <si>
    <t xml:space="preserve">besiege &amp; take cities; destroy wealth; expel men; aid wagon-travelers; increase harvests; free captives; wreck ships; ruin allies; kill captives</t>
  </si>
  <si>
    <t xml:space="preserve">Nahaym</t>
  </si>
  <si>
    <t xml:space="preserve">Al-Naaim</t>
  </si>
  <si>
    <t xml:space="preserve">4°17′ Sagittarius – 17°09′ Sagittarius</t>
  </si>
  <si>
    <t xml:space="preserve">tame wild beasts; speed travelers’ return; summon men; join good people; firm imprisonment; harm allies’ wealth</t>
  </si>
  <si>
    <t xml:space="preserve">Elbelda</t>
  </si>
  <si>
    <t xml:space="preserve">Al-Baldah</t>
  </si>
  <si>
    <t xml:space="preserve">17°09′ Sagittarius – 0°00′ Capricorn</t>
  </si>
  <si>
    <t xml:space="preserve">strengthen buildings; increase harvests; profit &amp; keep money; safe travel; separate wives from husbands</t>
  </si>
  <si>
    <t xml:space="preserve">Caadaldeba</t>
  </si>
  <si>
    <t xml:space="preserve">Sa'd al-Dhabih</t>
  </si>
  <si>
    <t xml:space="preserve">0°00′ Capricorn – 12°51′ Capricorn</t>
  </si>
  <si>
    <t xml:space="preserve">cure illness; sow discord between two; make servants/captives flee; goodwill between allies</t>
  </si>
  <si>
    <t xml:space="preserve">Caaddebolach</t>
  </si>
  <si>
    <t xml:space="preserve">Sa'd Bula</t>
  </si>
  <si>
    <t xml:space="preserve">12°51′ Capricorn – 25°43′ Capricorn</t>
  </si>
  <si>
    <t xml:space="preserve">heal illness; join friends; divide spouses; help captives escape</t>
  </si>
  <si>
    <t xml:space="preserve">Caadacohot</t>
  </si>
  <si>
    <t xml:space="preserve">Sa'd al-Su'ud</t>
  </si>
  <si>
    <t xml:space="preserve">25°43′ Capricorn – 8°34′ Aquarius</t>
  </si>
  <si>
    <t xml:space="preserve">increase merchandise &amp; profit; goodwill between spouses; soldiers’ victory; destroy allies’ money; obstruct officials</t>
  </si>
  <si>
    <t xml:space="preserve">Caaddalhacbia</t>
  </si>
  <si>
    <t xml:space="preserve">Sa'd al-Akhbiyah</t>
  </si>
  <si>
    <t xml:space="preserve">8°34′ Aquarius – 21°26′ Aquarius</t>
  </si>
  <si>
    <t xml:space="preserve">besiege cities; take/afflict enemies; speed messengers; separate spouses; destroy harvests; bind spouses or any body part; strengthen prisons; secure buildings</t>
  </si>
  <si>
    <t xml:space="preserve">Almiquedam</t>
  </si>
  <si>
    <t xml:space="preserve">Al-Fargh al-Mukdim</t>
  </si>
  <si>
    <t xml:space="preserve">21°26′ Aquarius – 4°17′ Pisces</t>
  </si>
  <si>
    <t xml:space="preserve">bind people in mutual love; protect wagon-travelers; strengthen buildings; firm imprisonment &amp; harm captives</t>
  </si>
  <si>
    <t xml:space="preserve">Algarf almuehar</t>
  </si>
  <si>
    <t xml:space="preserve">Al-Fargh al-Muakhar</t>
  </si>
  <si>
    <t xml:space="preserve">4°17′ Pisces – 17°09′ Pisces</t>
  </si>
  <si>
    <t xml:space="preserve">increase merchandise, profit &amp; harvests; unite allies; heal illness; destroy riches; impede buildings; imperil sea-travelers; prolong imprisonment</t>
  </si>
  <si>
    <t xml:space="preserve">Arrexhe</t>
  </si>
  <si>
    <t xml:space="preserve">Al-Risha (Batn al-Hut)</t>
  </si>
  <si>
    <t xml:space="preserve">17°09′ Pisces – 30°00′ Pisces</t>
  </si>
  <si>
    <t xml:space="preserve">increase merchandise &amp; harvests; besiege cities; lay waste an area; lose treasures; safe travel; peace between spouses; firm imprisonment; harm sailors</t>
  </si>
  <si>
    <t xml:space="preserve">BOOK 1, CH. 4 — ELECTIONAL RULES FOR TIMING MAGICAL IMAGES</t>
  </si>
  <si>
    <t xml:space="preserve">The Moon governs all works beneath her; place her well. For benefic works keep the left column; for malefic works the text says do the contrary. Source: B1 Ch4 (pp.31–38) &amp; footnotes.</t>
  </si>
  <si>
    <t xml:space="preserve">Factor</t>
  </si>
  <si>
    <t xml:space="preserve">For BENEFIC works</t>
  </si>
  <si>
    <t xml:space="preserve">For MALEFIC works</t>
  </si>
  <si>
    <t xml:space="preserve">Moon dignity</t>
  </si>
  <si>
    <t xml:space="preserve">Well dignified &amp; strong</t>
  </si>
  <si>
    <t xml:space="preserve">Weak / afflicted</t>
  </si>
  <si>
    <t xml:space="preserve">B1 Ch4</t>
  </si>
  <si>
    <t xml:space="preserve">Saturn &amp; Mars (infortunes)</t>
  </si>
  <si>
    <t xml:space="preserve">Safe from them and their aspects</t>
  </si>
  <si>
    <t xml:space="preserve">Combust or conjunct/applying to Saturn or Mars</t>
  </si>
  <si>
    <t xml:space="preserve">B1 Ch4; fn53</t>
  </si>
  <si>
    <t xml:space="preserve">Combustion / Sun’s rays</t>
  </si>
  <si>
    <t xml:space="preserve">Free of the Sun’s beams (&gt; 12° from Sun)</t>
  </si>
  <si>
    <t xml:space="preserve">Combust / under the rays</t>
  </si>
  <si>
    <t xml:space="preserve">Jupiter &amp; Venus (fortunes)</t>
  </si>
  <si>
    <t xml:space="preserve">Joined by trine or sextile; separating from one fortune, applying to the other</t>
  </si>
  <si>
    <t xml:space="preserve">—</t>
  </si>
  <si>
    <t xml:space="preserve">B1 Ch4; fn51</t>
  </si>
  <si>
    <t xml:space="preserve">Via Combusta</t>
  </si>
  <si>
    <t xml:space="preserve">Avoid (8° Libra – 3° Scorpio)</t>
  </si>
  <si>
    <t xml:space="preserve">B1 Ch4; fn54</t>
  </si>
  <si>
    <t xml:space="preserve">Moon speed</t>
  </si>
  <si>
    <t xml:space="preserve">Swift (≥ 12°/day)</t>
  </si>
  <si>
    <t xml:space="preserve">Slow (&lt; 12°/day) — “assimilated to Saturn”</t>
  </si>
  <si>
    <t xml:space="preserve">Eclipse</t>
  </si>
  <si>
    <t xml:space="preserve">Not applying to an eclipse</t>
  </si>
  <si>
    <t xml:space="preserve">End of sign</t>
  </si>
  <si>
    <t xml:space="preserve">Avoid the last degrees (terms of the infortunes)</t>
  </si>
  <si>
    <t xml:space="preserve">House / cadency</t>
  </si>
  <si>
    <t xml:space="preserve">Not cadent from the midheaven (avoid the 9th house)</t>
  </si>
  <si>
    <t xml:space="preserve">Day vs night</t>
  </si>
  <si>
    <t xml:space="preserve">Day work: Moon ascending in a diurnal sign. Night work: in a nocturnal sign</t>
  </si>
  <si>
    <t xml:space="preserve">Sign of ascension</t>
  </si>
  <si>
    <t xml:space="preserve">Short ascension (Cap–Gem) = swifter effect; long ascension = slower</t>
  </si>
  <si>
    <t xml:space="preserve">B1 Ch4; fn52</t>
  </si>
  <si>
    <t xml:space="preserve">Humane signs</t>
  </si>
  <si>
    <t xml:space="preserve">For “human” aims, Moon rising in Gemini/Virgo/Libra/Sagittarius/Aquarius</t>
  </si>
  <si>
    <t xml:space="preserve">B1 Ch4 (Mansion 5)</t>
  </si>
  <si>
    <t xml:space="preserve">Remedy if unavoidable</t>
  </si>
  <si>
    <t xml:space="preserve">Place Jupiter and/or Venus on the Ascendant or Midheaven to rectify an afflicted Moon</t>
  </si>
  <si>
    <t xml:space="preserve">WILLIAM LILLY — TABLE OF ESSENTIAL DIGNITIES (used by the calculator)</t>
  </si>
  <si>
    <t xml:space="preserve">Christian Astrology (1647), p.104 conventions. Scoring: Domicile +5, Exaltation +4, Triplicity +3, Term +2, Face +1; Detriment –5, Fall –4. Terms = Egyptian bounds; faces = Chaldean order.</t>
  </si>
  <si>
    <t xml:space="preserve">Sign</t>
  </si>
  <si>
    <t xml:space="preserve">Domicile</t>
  </si>
  <si>
    <t xml:space="preserve">Detriment</t>
  </si>
  <si>
    <t xml:space="preserve">Exalt. (°)</t>
  </si>
  <si>
    <t xml:space="preserve">Fall</t>
  </si>
  <si>
    <t xml:space="preserve">Tripl. (day)</t>
  </si>
  <si>
    <t xml:space="preserve">Tripl. (night)</t>
  </si>
  <si>
    <t xml:space="preserve">Terms (Egyptian)</t>
  </si>
  <si>
    <t xml:space="preserve">Faces / decans</t>
  </si>
  <si>
    <t xml:space="preserve">Sun 19°</t>
  </si>
  <si>
    <t xml:space="preserve">Jupiter 0–6, Venus 6–12, Mercury 12–20, Mars 20–25, Saturn 25–30</t>
  </si>
  <si>
    <t xml:space="preserve">Mars (0–10), Sun (10–20), Venus (20–30)</t>
  </si>
  <si>
    <t xml:space="preserve">Moon 3°</t>
  </si>
  <si>
    <t xml:space="preserve">Venus 0–8, Mercury 8–14, Jupiter 14–22, Saturn 22–27, Mars 27–30</t>
  </si>
  <si>
    <t xml:space="preserve">Mercury (0–10), Moon (10–20), Saturn (20–30)</t>
  </si>
  <si>
    <t xml:space="preserve">Mercury 0–6, Jupiter 6–12, Venus 12–17, Mars 17–24, Saturn 24–30</t>
  </si>
  <si>
    <t xml:space="preserve">Jupiter (0–10), Mars (10–20), Sun (20–30)</t>
  </si>
  <si>
    <t xml:space="preserve">Jupiter 15°</t>
  </si>
  <si>
    <t xml:space="preserve">Mars 0–7, Venus 7–13, Mercury 13–19, Jupiter 19–26, Saturn 26–30</t>
  </si>
  <si>
    <t xml:space="preserve">Venus (0–10), Mercury (10–20), Moon (20–30)</t>
  </si>
  <si>
    <t xml:space="preserve">Jupiter 0–6, Venus 6–11, Saturn 11–18, Mercury 18–24, Mars 24–30</t>
  </si>
  <si>
    <t xml:space="preserve">Saturn (0–10), Jupiter (10–20), Mars (20–30)</t>
  </si>
  <si>
    <t xml:space="preserve">Mercury 15°</t>
  </si>
  <si>
    <t xml:space="preserve">Mercury 0–7, Venus 7–17, Jupiter 17–21, Mars 21–28, Saturn 28–30</t>
  </si>
  <si>
    <t xml:space="preserve">Sun (0–10), Venus (10–20), Mercury (20–30)</t>
  </si>
  <si>
    <t xml:space="preserve">Saturn 21°</t>
  </si>
  <si>
    <t xml:space="preserve">Saturn 0–6, Mercury 6–14, Jupiter 14–21, Venus 21–28, Mars 28–30</t>
  </si>
  <si>
    <t xml:space="preserve">Moon (0–10), Saturn (10–20), Jupiter (20–30)</t>
  </si>
  <si>
    <t xml:space="preserve">Mars 0–7, Venus 7–11, Mercury 11–19, Jupiter 19–24, Saturn 24–30</t>
  </si>
  <si>
    <t xml:space="preserve">Jupiter 0–12, Venus 12–17, Mercury 17–21, Saturn 21–26, Mars 26–30</t>
  </si>
  <si>
    <t xml:space="preserve">Mars 28°</t>
  </si>
  <si>
    <t xml:space="preserve">Venus 0–7, Mercury 7–14, Jupiter 14–22, Mars 22–26, Saturn 26–30</t>
  </si>
  <si>
    <t xml:space="preserve">Saturn 0–7, Mercury 7–13, Venus 13–20, Jupiter 20–25, Mars 25–30</t>
  </si>
  <si>
    <t xml:space="preserve">Venus 27°</t>
  </si>
  <si>
    <t xml:space="preserve">Venus 0–12, Jupiter 12–16, Mercury 16–19, Mars 19–28, Saturn 28–30</t>
  </si>
  <si>
    <t xml:space="preserve">GLOSSARY — terms used in Book 1, Ch. 3–4</t>
  </si>
  <si>
    <t xml:space="preserve">Term</t>
  </si>
  <si>
    <t xml:space="preserve">Definition</t>
  </si>
  <si>
    <t xml:space="preserve">Fortunes</t>
  </si>
  <si>
    <t xml:space="preserve">The benefic planets Jupiter and Venus.</t>
  </si>
  <si>
    <t xml:space="preserve">B1 Ch4 fn51</t>
  </si>
  <si>
    <t xml:space="preserve">Infortunes</t>
  </si>
  <si>
    <t xml:space="preserve">The malefic planets Saturn and Mars.</t>
  </si>
  <si>
    <t xml:space="preserve">B1 Ch4 fn53</t>
  </si>
  <si>
    <t xml:space="preserve">Combustion / under the rays</t>
  </si>
  <si>
    <t xml:space="preserve">Moon (or planet) too near the Sun — here within 12° before/after — its virtue burned up. (Lilly: combust &lt; 8°30′, under-beams &lt; 17°, cazimi &lt; 17′.)</t>
  </si>
  <si>
    <t xml:space="preserve">“Burnt way,” 8° Libra to 3° Scorpio; an unfortunate stretch for the Moon, to be avoided.</t>
  </si>
  <si>
    <t xml:space="preserve">B1 Ch4 fn54</t>
  </si>
  <si>
    <t xml:space="preserve">Slow course</t>
  </si>
  <si>
    <t xml:space="preserve">Moon moving &lt; 12°/day is “assimilated to Saturn” (sluggish, weakened).</t>
  </si>
  <si>
    <t xml:space="preserve">Humane (human) signs</t>
  </si>
  <si>
    <t xml:space="preserve">Gemini, Virgo, Libra, Sagittarius, Aquarius — used for works concerning people.</t>
  </si>
  <si>
    <t xml:space="preserve">Signs of short / direct ascension</t>
  </si>
  <si>
    <t xml:space="preserve">Capricorn, Aquarius, Pisces, Aries, Taurus, Gemini — give swifter effects.</t>
  </si>
  <si>
    <t xml:space="preserve">B1 Ch4 fn52</t>
  </si>
  <si>
    <t xml:space="preserve">Signs of long / oblique ascension</t>
  </si>
  <si>
    <t xml:space="preserve">Cancer, Leo, Virgo, Libra, Scorpio, Sagittarius — give slower effects.</t>
  </si>
  <si>
    <t xml:space="preserve">Diurnal / nocturnal signs</t>
  </si>
  <si>
    <t xml:space="preserve">Day vs night signs; match the rising sign to whether the work is by day or night.</t>
  </si>
  <si>
    <t xml:space="preserve">Cadent from midheaven</t>
  </si>
  <si>
    <t xml:space="preserve">A planet in a cadent house (here the 9th, cadent from the MC) is weak in action.</t>
  </si>
  <si>
    <t xml:space="preserve">Applying / separating</t>
  </si>
  <si>
    <t xml:space="preserve">A faster planet moving toward exactness of an aspect (applying) vs away from it (separating).</t>
  </si>
  <si>
    <t xml:space="preserve">Lilly, Christian Astrology</t>
  </si>
  <si>
    <t xml:space="preserve">Essential dignity</t>
  </si>
  <si>
    <t xml:space="preserve">A planet’s strength by zodiacal position (domicile, exaltation, triplicity, term, face).</t>
  </si>
  <si>
    <t xml:space="preserve">Mansion of the Moon</t>
  </si>
  <si>
    <t xml:space="preserve">One of 28 equal 12°51′ arcs from 0° Aries; the Moon’s mansion governs which images to make.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</si>
</sst>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F244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244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2F24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2440"/>
        <bgColor rgb="FF333300"/>
      </patternFill>
    </fill>
    <fill>
      <patternFill patternType="solid">
        <fgColor rgb="FFF4F1F8"/>
        <bgColor rgb="FFFFFFFF"/>
      </patternFill>
    </fill>
    <fill>
      <patternFill patternType="solid">
        <fgColor rgb="FFFBEFC9"/>
        <bgColor rgb="FFF4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E0"/>
      </left>
      <right style="thin">
        <color rgb="FFD9D4E0"/>
      </right>
      <top style="thin">
        <color rgb="FFD9D4E0"/>
      </top>
      <bottom style="thin">
        <color rgb="FFD9D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FC9"/>
      <rgbColor rgb="FFF4F1F8"/>
      <rgbColor rgb="FF660066"/>
      <rgbColor rgb="FFFF8080"/>
      <rgbColor rgb="FF0066CC"/>
      <rgbColor rgb="FFD9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360/28</f>
        <v>12.8571428571429</v>
      </c>
    </row>
    <row r="4" customFormat="false" ht="15" hidden="false" customHeight="false" outlineLevel="0" collapsed="false">
      <c r="A4" s="2" t="s">
        <v>2</v>
      </c>
      <c r="B4" s="0" t="n">
        <v>12</v>
      </c>
    </row>
    <row r="5" customFormat="false" ht="15" hidden="false" customHeight="false" outlineLevel="0" collapsed="false">
      <c r="A5" s="2" t="s">
        <v>3</v>
      </c>
      <c r="B5" s="0" t="n">
        <v>188</v>
      </c>
    </row>
    <row r="6" customFormat="false" ht="15" hidden="false" customHeight="false" outlineLevel="0" collapsed="false">
      <c r="A6" s="2" t="s">
        <v>4</v>
      </c>
      <c r="B6" s="0" t="n">
        <v>213</v>
      </c>
    </row>
    <row r="7" customFormat="false" ht="15" hidden="false" customHeight="false" outlineLevel="0" collapsed="false">
      <c r="A7" s="2" t="s">
        <v>5</v>
      </c>
      <c r="B7" s="0" t="n">
        <v>12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4" t="n">
        <v>1</v>
      </c>
      <c r="B10" s="4" t="s">
        <v>7</v>
      </c>
    </row>
    <row r="11" customFormat="false" ht="15" hidden="false" customHeight="false" outlineLevel="0" collapsed="false">
      <c r="A11" s="4" t="n">
        <v>2</v>
      </c>
      <c r="B11" s="4" t="s">
        <v>8</v>
      </c>
    </row>
    <row r="12" customFormat="false" ht="15" hidden="false" customHeight="false" outlineLevel="0" collapsed="false">
      <c r="A12" s="4" t="n">
        <v>3</v>
      </c>
      <c r="B12" s="4" t="s">
        <v>9</v>
      </c>
    </row>
    <row r="13" customFormat="false" ht="15" hidden="false" customHeight="false" outlineLevel="0" collapsed="false">
      <c r="A13" s="4" t="n">
        <v>4</v>
      </c>
      <c r="B13" s="4" t="s">
        <v>10</v>
      </c>
    </row>
    <row r="14" customFormat="false" ht="15" hidden="false" customHeight="false" outlineLevel="0" collapsed="false">
      <c r="A14" s="4" t="n">
        <v>5</v>
      </c>
      <c r="B14" s="4" t="s">
        <v>11</v>
      </c>
    </row>
    <row r="15" customFormat="false" ht="15" hidden="false" customHeight="false" outlineLevel="0" collapsed="false">
      <c r="A15" s="4" t="n">
        <v>6</v>
      </c>
      <c r="B15" s="4" t="s">
        <v>12</v>
      </c>
    </row>
    <row r="16" customFormat="false" ht="15" hidden="false" customHeight="false" outlineLevel="0" collapsed="false">
      <c r="A16" s="4" t="n">
        <v>7</v>
      </c>
      <c r="B16" s="4" t="s">
        <v>13</v>
      </c>
    </row>
    <row r="17" customFormat="false" ht="15" hidden="false" customHeight="false" outlineLevel="0" collapsed="false">
      <c r="A17" s="4" t="n">
        <v>8</v>
      </c>
      <c r="B17" s="4" t="s">
        <v>14</v>
      </c>
    </row>
    <row r="18" customFormat="false" ht="15" hidden="false" customHeight="false" outlineLevel="0" collapsed="false">
      <c r="A18" s="4" t="n">
        <v>9</v>
      </c>
      <c r="B18" s="4" t="s">
        <v>15</v>
      </c>
    </row>
    <row r="19" customFormat="false" ht="15" hidden="false" customHeight="false" outlineLevel="0" collapsed="false">
      <c r="A19" s="4" t="n">
        <v>10</v>
      </c>
      <c r="B19" s="4" t="s">
        <v>16</v>
      </c>
    </row>
    <row r="20" customFormat="false" ht="15" hidden="false" customHeight="false" outlineLevel="0" collapsed="false">
      <c r="A20" s="4" t="n">
        <v>11</v>
      </c>
      <c r="B20" s="4" t="s">
        <v>17</v>
      </c>
    </row>
    <row r="21" customFormat="false" ht="15" hidden="false" customHeight="false" outlineLevel="0" collapsed="false">
      <c r="A21" s="4" t="n">
        <v>12</v>
      </c>
      <c r="B21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62"/>
    <col collapsed="false" customWidth="true" hidden="false" outlineLevel="0" max="4" min="4" style="0" width="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5" t="s">
        <v>19</v>
      </c>
    </row>
    <row r="2" customFormat="false" ht="15" hidden="false" customHeight="false" outlineLevel="0" collapsed="false">
      <c r="A2" s="6" t="s">
        <v>20</v>
      </c>
    </row>
    <row r="4" customFormat="false" ht="15" hidden="false" customHeight="false" outlineLevel="0" collapsed="false">
      <c r="A4" s="7" t="s">
        <v>21</v>
      </c>
      <c r="B4" s="7" t="s">
        <v>22</v>
      </c>
      <c r="C4" s="7" t="s">
        <v>23</v>
      </c>
      <c r="D4" s="8" t="s">
        <v>24</v>
      </c>
      <c r="E4" s="8" t="s">
        <v>25</v>
      </c>
    </row>
    <row r="5" customFormat="false" ht="15" hidden="false" customHeight="false" outlineLevel="0" collapsed="false">
      <c r="A5" s="9" t="s">
        <v>26</v>
      </c>
      <c r="B5" s="9" t="s">
        <v>27</v>
      </c>
      <c r="C5" s="9" t="s">
        <v>28</v>
      </c>
      <c r="D5" s="10" t="s">
        <v>29</v>
      </c>
      <c r="E5" s="10" t="s">
        <v>30</v>
      </c>
    </row>
    <row r="6" customFormat="false" ht="15" hidden="false" customHeight="false" outlineLevel="0" collapsed="false">
      <c r="A6" s="11" t="s">
        <v>26</v>
      </c>
      <c r="B6" s="11" t="s">
        <v>31</v>
      </c>
      <c r="C6" s="11" t="s">
        <v>32</v>
      </c>
      <c r="D6" s="12" t="s">
        <v>33</v>
      </c>
      <c r="E6" s="12" t="s">
        <v>30</v>
      </c>
    </row>
    <row r="7" customFormat="false" ht="15" hidden="false" customHeight="false" outlineLevel="0" collapsed="false">
      <c r="A7" s="13" t="s">
        <v>26</v>
      </c>
      <c r="B7" s="13" t="s">
        <v>34</v>
      </c>
      <c r="C7" s="13" t="s">
        <v>35</v>
      </c>
      <c r="D7" s="14" t="s">
        <v>36</v>
      </c>
      <c r="E7" s="14" t="s">
        <v>37</v>
      </c>
    </row>
    <row r="8" customFormat="false" ht="23.85" hidden="false" customHeight="false" outlineLevel="0" collapsed="false">
      <c r="A8" s="13" t="s">
        <v>26</v>
      </c>
      <c r="B8" s="13" t="s">
        <v>38</v>
      </c>
      <c r="C8" s="13" t="s">
        <v>39</v>
      </c>
      <c r="D8" s="14" t="s">
        <v>40</v>
      </c>
      <c r="E8" s="14" t="s">
        <v>37</v>
      </c>
    </row>
    <row r="9" customFormat="false" ht="15" hidden="false" customHeight="false" outlineLevel="0" collapsed="false">
      <c r="A9" s="9" t="s">
        <v>26</v>
      </c>
      <c r="B9" s="9" t="s">
        <v>41</v>
      </c>
      <c r="C9" s="9" t="s">
        <v>42</v>
      </c>
      <c r="D9" s="10" t="s">
        <v>43</v>
      </c>
      <c r="E9" s="10" t="s">
        <v>30</v>
      </c>
    </row>
    <row r="10" customFormat="false" ht="15" hidden="false" customHeight="false" outlineLevel="0" collapsed="false">
      <c r="A10" s="11" t="s">
        <v>26</v>
      </c>
      <c r="B10" s="11" t="s">
        <v>44</v>
      </c>
      <c r="C10" s="11" t="s">
        <v>45</v>
      </c>
      <c r="D10" s="12" t="s">
        <v>46</v>
      </c>
      <c r="E10" s="12" t="s">
        <v>30</v>
      </c>
    </row>
    <row r="11" customFormat="false" ht="15" hidden="false" customHeight="false" outlineLevel="0" collapsed="false">
      <c r="A11" s="9" t="s">
        <v>26</v>
      </c>
      <c r="B11" s="9" t="s">
        <v>47</v>
      </c>
      <c r="C11" s="9" t="s">
        <v>48</v>
      </c>
      <c r="D11" s="10" t="s">
        <v>49</v>
      </c>
      <c r="E11" s="10" t="s">
        <v>30</v>
      </c>
    </row>
    <row r="12" customFormat="false" ht="15" hidden="false" customHeight="false" outlineLevel="0" collapsed="false">
      <c r="A12" s="11" t="s">
        <v>50</v>
      </c>
      <c r="B12" s="11" t="s">
        <v>27</v>
      </c>
      <c r="C12" s="11" t="s">
        <v>51</v>
      </c>
      <c r="D12" s="12"/>
      <c r="E12" s="12" t="s">
        <v>52</v>
      </c>
    </row>
    <row r="13" customFormat="false" ht="15" hidden="false" customHeight="false" outlineLevel="0" collapsed="false">
      <c r="A13" s="9" t="s">
        <v>50</v>
      </c>
      <c r="B13" s="9" t="s">
        <v>31</v>
      </c>
      <c r="C13" s="9" t="s">
        <v>53</v>
      </c>
      <c r="D13" s="10"/>
      <c r="E13" s="10" t="s">
        <v>52</v>
      </c>
    </row>
    <row r="14" customFormat="false" ht="15" hidden="false" customHeight="false" outlineLevel="0" collapsed="false">
      <c r="A14" s="11" t="s">
        <v>50</v>
      </c>
      <c r="B14" s="11" t="s">
        <v>34</v>
      </c>
      <c r="C14" s="11" t="s">
        <v>54</v>
      </c>
      <c r="D14" s="12"/>
      <c r="E14" s="12" t="s">
        <v>52</v>
      </c>
    </row>
    <row r="15" customFormat="false" ht="15" hidden="false" customHeight="false" outlineLevel="0" collapsed="false">
      <c r="A15" s="9" t="s">
        <v>50</v>
      </c>
      <c r="B15" s="9" t="s">
        <v>38</v>
      </c>
      <c r="C15" s="9" t="s">
        <v>55</v>
      </c>
      <c r="D15" s="10"/>
      <c r="E15" s="10" t="s">
        <v>52</v>
      </c>
    </row>
    <row r="16" customFormat="false" ht="15" hidden="false" customHeight="false" outlineLevel="0" collapsed="false">
      <c r="A16" s="11" t="s">
        <v>50</v>
      </c>
      <c r="B16" s="11" t="s">
        <v>41</v>
      </c>
      <c r="C16" s="11" t="s">
        <v>56</v>
      </c>
      <c r="D16" s="12"/>
      <c r="E16" s="12" t="s">
        <v>52</v>
      </c>
    </row>
    <row r="17" customFormat="false" ht="23.85" hidden="false" customHeight="false" outlineLevel="0" collapsed="false">
      <c r="A17" s="9" t="s">
        <v>50</v>
      </c>
      <c r="B17" s="9" t="s">
        <v>44</v>
      </c>
      <c r="C17" s="9" t="s">
        <v>57</v>
      </c>
      <c r="D17" s="10"/>
      <c r="E17" s="10" t="s">
        <v>52</v>
      </c>
    </row>
    <row r="18" customFormat="false" ht="15" hidden="false" customHeight="false" outlineLevel="0" collapsed="false">
      <c r="A18" s="11" t="s">
        <v>50</v>
      </c>
      <c r="B18" s="11" t="s">
        <v>47</v>
      </c>
      <c r="C18" s="11" t="s">
        <v>58</v>
      </c>
      <c r="D18" s="12"/>
      <c r="E18" s="12" t="s">
        <v>52</v>
      </c>
    </row>
    <row r="19" customFormat="false" ht="15" hidden="false" customHeight="false" outlineLevel="0" collapsed="false">
      <c r="A19" s="9" t="s">
        <v>50</v>
      </c>
      <c r="B19" s="9" t="s">
        <v>59</v>
      </c>
      <c r="C19" s="9" t="s">
        <v>60</v>
      </c>
      <c r="D19" s="10"/>
      <c r="E19" s="10" t="s">
        <v>52</v>
      </c>
    </row>
    <row r="20" customFormat="false" ht="15" hidden="false" customHeight="false" outlineLevel="0" collapsed="false">
      <c r="A20" s="11" t="s">
        <v>50</v>
      </c>
      <c r="B20" s="11" t="s">
        <v>61</v>
      </c>
      <c r="C20" s="11" t="s">
        <v>62</v>
      </c>
      <c r="D20" s="12"/>
      <c r="E20" s="12" t="s">
        <v>52</v>
      </c>
    </row>
    <row r="21" customFormat="false" ht="15" hidden="false" customHeight="false" outlineLevel="0" collapsed="false">
      <c r="A21" s="9" t="s">
        <v>50</v>
      </c>
      <c r="B21" s="9" t="s">
        <v>63</v>
      </c>
      <c r="C21" s="9" t="s">
        <v>64</v>
      </c>
      <c r="D21" s="10"/>
      <c r="E21" s="10" t="s">
        <v>52</v>
      </c>
    </row>
    <row r="22" customFormat="false" ht="15" hidden="false" customHeight="false" outlineLevel="0" collapsed="false">
      <c r="A22" s="11" t="s">
        <v>50</v>
      </c>
      <c r="B22" s="11" t="s">
        <v>65</v>
      </c>
      <c r="C22" s="11" t="s">
        <v>66</v>
      </c>
      <c r="D22" s="12"/>
      <c r="E22" s="12" t="s">
        <v>52</v>
      </c>
    </row>
    <row r="23" customFormat="false" ht="23.85" hidden="false" customHeight="false" outlineLevel="0" collapsed="false">
      <c r="A23" s="9" t="s">
        <v>50</v>
      </c>
      <c r="B23" s="9" t="s">
        <v>67</v>
      </c>
      <c r="C23" s="9" t="s">
        <v>68</v>
      </c>
      <c r="D23" s="10"/>
      <c r="E23" s="10" t="s">
        <v>52</v>
      </c>
    </row>
    <row r="24" customFormat="false" ht="15" hidden="false" customHeight="false" outlineLevel="0" collapsed="false">
      <c r="A24" s="11" t="s">
        <v>69</v>
      </c>
      <c r="B24" s="11" t="s">
        <v>27</v>
      </c>
      <c r="C24" s="11" t="s">
        <v>70</v>
      </c>
      <c r="D24" s="12" t="s">
        <v>71</v>
      </c>
      <c r="E24" s="12" t="s">
        <v>52</v>
      </c>
    </row>
    <row r="25" customFormat="false" ht="15" hidden="false" customHeight="false" outlineLevel="0" collapsed="false">
      <c r="A25" s="9" t="s">
        <v>69</v>
      </c>
      <c r="B25" s="9" t="s">
        <v>31</v>
      </c>
      <c r="C25" s="9" t="s">
        <v>72</v>
      </c>
      <c r="D25" s="10" t="s">
        <v>73</v>
      </c>
      <c r="E25" s="10" t="s">
        <v>52</v>
      </c>
    </row>
    <row r="26" customFormat="false" ht="15" hidden="false" customHeight="false" outlineLevel="0" collapsed="false">
      <c r="A26" s="11" t="s">
        <v>69</v>
      </c>
      <c r="B26" s="11" t="s">
        <v>34</v>
      </c>
      <c r="C26" s="11" t="s">
        <v>74</v>
      </c>
      <c r="D26" s="12" t="s">
        <v>75</v>
      </c>
      <c r="E26" s="12" t="s">
        <v>52</v>
      </c>
    </row>
    <row r="27" customFormat="false" ht="15" hidden="false" customHeight="false" outlineLevel="0" collapsed="false">
      <c r="A27" s="9" t="s">
        <v>69</v>
      </c>
      <c r="B27" s="9" t="s">
        <v>38</v>
      </c>
      <c r="C27" s="9" t="s">
        <v>76</v>
      </c>
      <c r="D27" s="10" t="s">
        <v>77</v>
      </c>
      <c r="E27" s="10" t="s">
        <v>52</v>
      </c>
    </row>
    <row r="28" customFormat="false" ht="15" hidden="false" customHeight="false" outlineLevel="0" collapsed="false">
      <c r="A28" s="11" t="s">
        <v>69</v>
      </c>
      <c r="B28" s="11" t="s">
        <v>41</v>
      </c>
      <c r="C28" s="11" t="s">
        <v>78</v>
      </c>
      <c r="D28" s="12" t="s">
        <v>77</v>
      </c>
      <c r="E28" s="12" t="s">
        <v>52</v>
      </c>
    </row>
    <row r="29" customFormat="false" ht="15" hidden="false" customHeight="false" outlineLevel="0" collapsed="false">
      <c r="A29" s="9" t="s">
        <v>69</v>
      </c>
      <c r="B29" s="9" t="s">
        <v>44</v>
      </c>
      <c r="C29" s="9" t="s">
        <v>79</v>
      </c>
      <c r="D29" s="10" t="s">
        <v>80</v>
      </c>
      <c r="E29" s="10" t="s">
        <v>52</v>
      </c>
    </row>
    <row r="30" customFormat="false" ht="23.85" hidden="false" customHeight="false" outlineLevel="0" collapsed="false">
      <c r="A30" s="11" t="s">
        <v>69</v>
      </c>
      <c r="B30" s="11" t="s">
        <v>47</v>
      </c>
      <c r="C30" s="11" t="s">
        <v>81</v>
      </c>
      <c r="D30" s="12" t="s">
        <v>82</v>
      </c>
      <c r="E30" s="12" t="s">
        <v>52</v>
      </c>
    </row>
    <row r="31" customFormat="false" ht="15" hidden="false" customHeight="false" outlineLevel="0" collapsed="false">
      <c r="A31" s="9" t="s">
        <v>69</v>
      </c>
      <c r="B31" s="9" t="s">
        <v>59</v>
      </c>
      <c r="C31" s="9" t="s">
        <v>83</v>
      </c>
      <c r="D31" s="10" t="s">
        <v>84</v>
      </c>
      <c r="E31" s="10" t="s">
        <v>52</v>
      </c>
    </row>
    <row r="32" customFormat="false" ht="15" hidden="false" customHeight="false" outlineLevel="0" collapsed="false">
      <c r="A32" s="11" t="s">
        <v>69</v>
      </c>
      <c r="B32" s="11" t="s">
        <v>61</v>
      </c>
      <c r="C32" s="11" t="s">
        <v>85</v>
      </c>
      <c r="D32" s="12"/>
      <c r="E32" s="12" t="s">
        <v>52</v>
      </c>
    </row>
    <row r="33" customFormat="false" ht="15" hidden="false" customHeight="false" outlineLevel="0" collapsed="false">
      <c r="A33" s="9" t="s">
        <v>69</v>
      </c>
      <c r="B33" s="9" t="s">
        <v>63</v>
      </c>
      <c r="C33" s="9" t="s">
        <v>86</v>
      </c>
      <c r="D33" s="10" t="s">
        <v>87</v>
      </c>
      <c r="E33" s="10" t="s">
        <v>52</v>
      </c>
    </row>
    <row r="34" customFormat="false" ht="15" hidden="false" customHeight="false" outlineLevel="0" collapsed="false">
      <c r="A34" s="11" t="s">
        <v>69</v>
      </c>
      <c r="B34" s="11" t="s">
        <v>65</v>
      </c>
      <c r="C34" s="11" t="s">
        <v>88</v>
      </c>
      <c r="D34" s="12" t="s">
        <v>89</v>
      </c>
      <c r="E34" s="12" t="s">
        <v>52</v>
      </c>
    </row>
    <row r="35" customFormat="false" ht="15" hidden="false" customHeight="false" outlineLevel="0" collapsed="false">
      <c r="A35" s="9" t="s">
        <v>69</v>
      </c>
      <c r="B35" s="9" t="s">
        <v>67</v>
      </c>
      <c r="C35" s="9" t="s">
        <v>90</v>
      </c>
      <c r="D35" s="10"/>
      <c r="E35" s="10" t="s">
        <v>52</v>
      </c>
    </row>
    <row r="36" customFormat="false" ht="23.85" hidden="false" customHeight="false" outlineLevel="0" collapsed="false">
      <c r="A36" s="11" t="s">
        <v>91</v>
      </c>
      <c r="B36" s="11" t="s">
        <v>92</v>
      </c>
      <c r="C36" s="11" t="s">
        <v>93</v>
      </c>
      <c r="D36" s="12"/>
      <c r="E36" s="1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5" t="s">
        <v>95</v>
      </c>
    </row>
    <row r="2" customFormat="false" ht="23.85" hidden="false" customHeight="true" outlineLevel="0" collapsed="false">
      <c r="A2" s="16" t="s">
        <v>96</v>
      </c>
      <c r="B2" s="16"/>
      <c r="C2" s="16"/>
      <c r="D2" s="16"/>
      <c r="E2" s="16"/>
    </row>
    <row r="4" customFormat="false" ht="15" hidden="false" customHeight="false" outlineLevel="0" collapsed="false">
      <c r="A4" s="17" t="s">
        <v>97</v>
      </c>
      <c r="B4" s="17" t="s">
        <v>98</v>
      </c>
      <c r="C4" s="17" t="s">
        <v>99</v>
      </c>
      <c r="D4" s="17" t="s">
        <v>100</v>
      </c>
      <c r="E4" s="17" t="s">
        <v>101</v>
      </c>
    </row>
    <row r="5" customFormat="false" ht="15" hidden="false" customHeight="false" outlineLevel="0" collapsed="false">
      <c r="A5" s="11" t="s">
        <v>102</v>
      </c>
      <c r="B5" s="11" t="s">
        <v>103</v>
      </c>
      <c r="C5" s="11" t="s">
        <v>104</v>
      </c>
      <c r="D5" s="11" t="s">
        <v>105</v>
      </c>
      <c r="E5" s="11" t="s">
        <v>106</v>
      </c>
    </row>
    <row r="6" customFormat="false" ht="15" hidden="false" customHeight="false" outlineLevel="0" collapsed="false">
      <c r="A6" s="9" t="s">
        <v>107</v>
      </c>
      <c r="B6" s="9" t="s">
        <v>108</v>
      </c>
      <c r="C6" s="9" t="s">
        <v>109</v>
      </c>
      <c r="D6" s="9" t="s">
        <v>110</v>
      </c>
      <c r="E6" s="9" t="s">
        <v>106</v>
      </c>
    </row>
    <row r="7" customFormat="false" ht="15" hidden="false" customHeight="false" outlineLevel="0" collapsed="false">
      <c r="A7" s="11" t="s">
        <v>111</v>
      </c>
      <c r="B7" s="11" t="s">
        <v>112</v>
      </c>
      <c r="C7" s="11" t="s">
        <v>113</v>
      </c>
      <c r="D7" s="11" t="s">
        <v>114</v>
      </c>
      <c r="E7" s="11" t="s">
        <v>106</v>
      </c>
    </row>
    <row r="8" customFormat="false" ht="23.85" hidden="false" customHeight="false" outlineLevel="0" collapsed="false">
      <c r="A8" s="9" t="s">
        <v>115</v>
      </c>
      <c r="B8" s="9" t="s">
        <v>116</v>
      </c>
      <c r="C8" s="9" t="s">
        <v>113</v>
      </c>
      <c r="D8" s="9" t="s">
        <v>117</v>
      </c>
      <c r="E8" s="9" t="s">
        <v>106</v>
      </c>
    </row>
    <row r="9" customFormat="false" ht="15" hidden="false" customHeight="false" outlineLevel="0" collapsed="false">
      <c r="A9" s="11" t="s">
        <v>118</v>
      </c>
      <c r="B9" s="11" t="s">
        <v>119</v>
      </c>
      <c r="C9" s="11" t="s">
        <v>120</v>
      </c>
      <c r="D9" s="11" t="s">
        <v>121</v>
      </c>
      <c r="E9" s="11" t="s">
        <v>106</v>
      </c>
    </row>
    <row r="10" customFormat="false" ht="15" hidden="false" customHeight="false" outlineLevel="0" collapsed="false">
      <c r="A10" s="9" t="s">
        <v>122</v>
      </c>
      <c r="B10" s="9" t="s">
        <v>123</v>
      </c>
      <c r="C10" s="9" t="s">
        <v>124</v>
      </c>
      <c r="D10" s="9" t="s">
        <v>125</v>
      </c>
      <c r="E10" s="9" t="s">
        <v>106</v>
      </c>
    </row>
    <row r="11" customFormat="false" ht="15" hidden="false" customHeight="false" outlineLevel="0" collapsed="false">
      <c r="A11" s="11" t="s">
        <v>126</v>
      </c>
      <c r="B11" s="11" t="s">
        <v>127</v>
      </c>
      <c r="C11" s="11" t="s">
        <v>128</v>
      </c>
      <c r="D11" s="11" t="s">
        <v>129</v>
      </c>
      <c r="E11" s="11" t="s">
        <v>106</v>
      </c>
    </row>
    <row r="12" customFormat="false" ht="15" hidden="false" customHeight="false" outlineLevel="0" collapsed="false">
      <c r="A12" s="9" t="s">
        <v>130</v>
      </c>
      <c r="B12" s="9" t="s">
        <v>131</v>
      </c>
      <c r="C12" s="9" t="s">
        <v>128</v>
      </c>
      <c r="D12" s="9" t="s">
        <v>132</v>
      </c>
      <c r="E12" s="9" t="s">
        <v>106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20"/>
    <col collapsed="false" customWidth="true" hidden="false" outlineLevel="0" max="6" min="4" style="0" width="11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5" t="s">
        <v>133</v>
      </c>
    </row>
    <row r="2" customFormat="false" ht="15" hidden="false" customHeight="true" outlineLevel="0" collapsed="false">
      <c r="A2" s="16" t="s">
        <v>134</v>
      </c>
      <c r="B2" s="16"/>
      <c r="C2" s="16"/>
      <c r="D2" s="16"/>
      <c r="E2" s="16"/>
      <c r="F2" s="16"/>
      <c r="G2" s="16"/>
      <c r="H2" s="16"/>
      <c r="I2" s="16"/>
    </row>
    <row r="4" customFormat="false" ht="26.85" hidden="false" customHeight="false" outlineLevel="0" collapsed="false">
      <c r="A4" s="17" t="s">
        <v>135</v>
      </c>
      <c r="B4" s="17" t="s">
        <v>136</v>
      </c>
      <c r="C4" s="17" t="s">
        <v>137</v>
      </c>
      <c r="D4" s="17" t="s">
        <v>138</v>
      </c>
      <c r="E4" s="17" t="s">
        <v>139</v>
      </c>
      <c r="F4" s="17" t="s">
        <v>140</v>
      </c>
      <c r="G4" s="17" t="s">
        <v>141</v>
      </c>
      <c r="H4" s="17" t="s">
        <v>142</v>
      </c>
      <c r="I4" s="17" t="s">
        <v>143</v>
      </c>
    </row>
    <row r="5" customFormat="false" ht="23.85" hidden="false" customHeight="false" outlineLevel="0" collapsed="false">
      <c r="A5" s="12" t="n">
        <v>1</v>
      </c>
      <c r="B5" s="11" t="s">
        <v>144</v>
      </c>
      <c r="C5" s="11" t="s">
        <v>145</v>
      </c>
      <c r="D5" s="18" t="n">
        <f aca="false">(A5-1)*Calc_Reference!$B$3</f>
        <v>0</v>
      </c>
      <c r="E5" s="18" t="n">
        <f aca="false">A5*Calc_Reference!$B$3</f>
        <v>12.8571428571429</v>
      </c>
      <c r="F5" s="12" t="str">
        <f aca="false">INDEX(Calc_Reference!$B$10:$B$21,INT(D5/30)+1)</f>
        <v>Aries</v>
      </c>
      <c r="G5" s="19" t="n">
        <f aca="false">MOD(D5,30)</f>
        <v>0</v>
      </c>
      <c r="H5" s="11" t="s">
        <v>146</v>
      </c>
      <c r="I5" s="11" t="s">
        <v>147</v>
      </c>
    </row>
    <row r="6" customFormat="false" ht="23.85" hidden="false" customHeight="false" outlineLevel="0" collapsed="false">
      <c r="A6" s="10" t="n">
        <v>2</v>
      </c>
      <c r="B6" s="9" t="s">
        <v>148</v>
      </c>
      <c r="C6" s="9" t="s">
        <v>149</v>
      </c>
      <c r="D6" s="20" t="n">
        <f aca="false">(A6-1)*Calc_Reference!$B$3</f>
        <v>12.8571428571429</v>
      </c>
      <c r="E6" s="20" t="n">
        <f aca="false">A6*Calc_Reference!$B$3</f>
        <v>25.7142857142857</v>
      </c>
      <c r="F6" s="10" t="str">
        <f aca="false">INDEX(Calc_Reference!$B$10:$B$21,INT(D6/30)+1)</f>
        <v>Aries</v>
      </c>
      <c r="G6" s="21" t="n">
        <f aca="false">MOD(D6,30)</f>
        <v>12.8571428571429</v>
      </c>
      <c r="H6" s="9" t="s">
        <v>150</v>
      </c>
      <c r="I6" s="9" t="s">
        <v>151</v>
      </c>
    </row>
    <row r="7" customFormat="false" ht="42" hidden="false" customHeight="true" outlineLevel="0" collapsed="false">
      <c r="A7" s="12" t="n">
        <v>3</v>
      </c>
      <c r="B7" s="11" t="s">
        <v>152</v>
      </c>
      <c r="C7" s="11" t="s">
        <v>153</v>
      </c>
      <c r="D7" s="18" t="n">
        <f aca="false">(A7-1)*Calc_Reference!$B$3</f>
        <v>25.7142857142857</v>
      </c>
      <c r="E7" s="18" t="n">
        <f aca="false">A7*Calc_Reference!$B$3</f>
        <v>38.5714285714286</v>
      </c>
      <c r="F7" s="12" t="str">
        <f aca="false">INDEX(Calc_Reference!$B$10:$B$21,INT(D7/30)+1)</f>
        <v>Aries</v>
      </c>
      <c r="G7" s="19" t="n">
        <f aca="false">MOD(D7,30)</f>
        <v>25.7142857142857</v>
      </c>
      <c r="H7" s="11" t="s">
        <v>154</v>
      </c>
      <c r="I7" s="11" t="s">
        <v>155</v>
      </c>
    </row>
    <row r="8" customFormat="false" ht="42" hidden="false" customHeight="true" outlineLevel="0" collapsed="false">
      <c r="A8" s="10" t="n">
        <v>4</v>
      </c>
      <c r="B8" s="9" t="s">
        <v>156</v>
      </c>
      <c r="C8" s="9" t="s">
        <v>157</v>
      </c>
      <c r="D8" s="20" t="n">
        <f aca="false">(A8-1)*Calc_Reference!$B$3</f>
        <v>38.5714285714286</v>
      </c>
      <c r="E8" s="20" t="n">
        <f aca="false">A8*Calc_Reference!$B$3</f>
        <v>51.4285714285714</v>
      </c>
      <c r="F8" s="10" t="str">
        <f aca="false">INDEX(Calc_Reference!$B$10:$B$21,INT(D8/30)+1)</f>
        <v>Taurus</v>
      </c>
      <c r="G8" s="21" t="n">
        <f aca="false">MOD(D8,30)</f>
        <v>8.57142857142857</v>
      </c>
      <c r="H8" s="9" t="s">
        <v>158</v>
      </c>
      <c r="I8" s="9" t="s">
        <v>159</v>
      </c>
    </row>
    <row r="9" customFormat="false" ht="42" hidden="false" customHeight="true" outlineLevel="0" collapsed="false">
      <c r="A9" s="12" t="n">
        <v>5</v>
      </c>
      <c r="B9" s="11" t="s">
        <v>160</v>
      </c>
      <c r="C9" s="11" t="s">
        <v>161</v>
      </c>
      <c r="D9" s="18" t="n">
        <f aca="false">(A9-1)*Calc_Reference!$B$3</f>
        <v>51.4285714285714</v>
      </c>
      <c r="E9" s="18" t="n">
        <f aca="false">A9*Calc_Reference!$B$3</f>
        <v>64.2857142857143</v>
      </c>
      <c r="F9" s="12" t="str">
        <f aca="false">INDEX(Calc_Reference!$B$10:$B$21,INT(D9/30)+1)</f>
        <v>Taurus</v>
      </c>
      <c r="G9" s="19" t="n">
        <f aca="false">MOD(D9,30)</f>
        <v>21.4285714285714</v>
      </c>
      <c r="H9" s="11" t="s">
        <v>162</v>
      </c>
      <c r="I9" s="11" t="s">
        <v>163</v>
      </c>
    </row>
    <row r="10" customFormat="false" ht="42" hidden="false" customHeight="true" outlineLevel="0" collapsed="false">
      <c r="A10" s="10" t="n">
        <v>6</v>
      </c>
      <c r="B10" s="9" t="s">
        <v>164</v>
      </c>
      <c r="C10" s="9" t="s">
        <v>165</v>
      </c>
      <c r="D10" s="20" t="n">
        <f aca="false">(A10-1)*Calc_Reference!$B$3</f>
        <v>64.2857142857143</v>
      </c>
      <c r="E10" s="20" t="n">
        <f aca="false">A10*Calc_Reference!$B$3</f>
        <v>77.1428571428571</v>
      </c>
      <c r="F10" s="10" t="str">
        <f aca="false">INDEX(Calc_Reference!$B$10:$B$21,INT(D10/30)+1)</f>
        <v>Gemini</v>
      </c>
      <c r="G10" s="21" t="n">
        <f aca="false">MOD(D10,30)</f>
        <v>4.28571428571429</v>
      </c>
      <c r="H10" s="9" t="s">
        <v>166</v>
      </c>
      <c r="I10" s="9" t="s">
        <v>167</v>
      </c>
    </row>
    <row r="11" customFormat="false" ht="42" hidden="false" customHeight="true" outlineLevel="0" collapsed="false">
      <c r="A11" s="12" t="n">
        <v>7</v>
      </c>
      <c r="B11" s="11" t="s">
        <v>168</v>
      </c>
      <c r="C11" s="11" t="s">
        <v>169</v>
      </c>
      <c r="D11" s="18" t="n">
        <f aca="false">(A11-1)*Calc_Reference!$B$3</f>
        <v>77.1428571428571</v>
      </c>
      <c r="E11" s="18" t="n">
        <f aca="false">A11*Calc_Reference!$B$3</f>
        <v>90</v>
      </c>
      <c r="F11" s="12" t="str">
        <f aca="false">INDEX(Calc_Reference!$B$10:$B$21,INT(D11/30)+1)</f>
        <v>Gemini</v>
      </c>
      <c r="G11" s="19" t="n">
        <f aca="false">MOD(D11,30)</f>
        <v>17.1428571428571</v>
      </c>
      <c r="H11" s="11" t="s">
        <v>170</v>
      </c>
      <c r="I11" s="11" t="s">
        <v>171</v>
      </c>
    </row>
    <row r="12" customFormat="false" ht="42" hidden="false" customHeight="true" outlineLevel="0" collapsed="false">
      <c r="A12" s="10" t="n">
        <v>8</v>
      </c>
      <c r="B12" s="9" t="s">
        <v>172</v>
      </c>
      <c r="C12" s="9" t="s">
        <v>173</v>
      </c>
      <c r="D12" s="20" t="n">
        <f aca="false">(A12-1)*Calc_Reference!$B$3</f>
        <v>90</v>
      </c>
      <c r="E12" s="20" t="n">
        <f aca="false">A12*Calc_Reference!$B$3</f>
        <v>102.857142857143</v>
      </c>
      <c r="F12" s="10" t="str">
        <f aca="false">INDEX(Calc_Reference!$B$10:$B$21,INT(D12/30)+1)</f>
        <v>Cancer</v>
      </c>
      <c r="G12" s="21" t="n">
        <f aca="false">MOD(D12,30)</f>
        <v>0</v>
      </c>
      <c r="H12" s="9" t="s">
        <v>174</v>
      </c>
      <c r="I12" s="9" t="s">
        <v>175</v>
      </c>
    </row>
    <row r="13" customFormat="false" ht="42" hidden="false" customHeight="true" outlineLevel="0" collapsed="false">
      <c r="A13" s="12" t="n">
        <v>9</v>
      </c>
      <c r="B13" s="11" t="s">
        <v>176</v>
      </c>
      <c r="C13" s="11" t="s">
        <v>177</v>
      </c>
      <c r="D13" s="18" t="n">
        <f aca="false">(A13-1)*Calc_Reference!$B$3</f>
        <v>102.857142857143</v>
      </c>
      <c r="E13" s="18" t="n">
        <f aca="false">A13*Calc_Reference!$B$3</f>
        <v>115.714285714286</v>
      </c>
      <c r="F13" s="12" t="str">
        <f aca="false">INDEX(Calc_Reference!$B$10:$B$21,INT(D13/30)+1)</f>
        <v>Cancer</v>
      </c>
      <c r="G13" s="19" t="n">
        <f aca="false">MOD(D13,30)</f>
        <v>12.8571428571429</v>
      </c>
      <c r="H13" s="11" t="s">
        <v>178</v>
      </c>
      <c r="I13" s="11" t="s">
        <v>179</v>
      </c>
    </row>
    <row r="14" customFormat="false" ht="42" hidden="false" customHeight="true" outlineLevel="0" collapsed="false">
      <c r="A14" s="10" t="n">
        <v>10</v>
      </c>
      <c r="B14" s="9" t="s">
        <v>180</v>
      </c>
      <c r="C14" s="9" t="s">
        <v>181</v>
      </c>
      <c r="D14" s="20" t="n">
        <f aca="false">(A14-1)*Calc_Reference!$B$3</f>
        <v>115.714285714286</v>
      </c>
      <c r="E14" s="20" t="n">
        <f aca="false">A14*Calc_Reference!$B$3</f>
        <v>128.571428571429</v>
      </c>
      <c r="F14" s="10" t="str">
        <f aca="false">INDEX(Calc_Reference!$B$10:$B$21,INT(D14/30)+1)</f>
        <v>Cancer</v>
      </c>
      <c r="G14" s="21" t="n">
        <f aca="false">MOD(D14,30)</f>
        <v>25.7142857142857</v>
      </c>
      <c r="H14" s="9" t="s">
        <v>182</v>
      </c>
      <c r="I14" s="9" t="s">
        <v>183</v>
      </c>
    </row>
    <row r="15" customFormat="false" ht="42" hidden="false" customHeight="true" outlineLevel="0" collapsed="false">
      <c r="A15" s="12" t="n">
        <v>11</v>
      </c>
      <c r="B15" s="11" t="s">
        <v>184</v>
      </c>
      <c r="C15" s="11" t="s">
        <v>185</v>
      </c>
      <c r="D15" s="18" t="n">
        <f aca="false">(A15-1)*Calc_Reference!$B$3</f>
        <v>128.571428571429</v>
      </c>
      <c r="E15" s="18" t="n">
        <f aca="false">A15*Calc_Reference!$B$3</f>
        <v>141.428571428571</v>
      </c>
      <c r="F15" s="12" t="str">
        <f aca="false">INDEX(Calc_Reference!$B$10:$B$21,INT(D15/30)+1)</f>
        <v>Leo</v>
      </c>
      <c r="G15" s="19" t="n">
        <f aca="false">MOD(D15,30)</f>
        <v>8.57142857142858</v>
      </c>
      <c r="H15" s="11" t="s">
        <v>186</v>
      </c>
      <c r="I15" s="11" t="s">
        <v>187</v>
      </c>
    </row>
    <row r="16" customFormat="false" ht="42" hidden="false" customHeight="true" outlineLevel="0" collapsed="false">
      <c r="A16" s="10" t="n">
        <v>12</v>
      </c>
      <c r="B16" s="9" t="s">
        <v>188</v>
      </c>
      <c r="C16" s="9" t="s">
        <v>189</v>
      </c>
      <c r="D16" s="20" t="n">
        <f aca="false">(A16-1)*Calc_Reference!$B$3</f>
        <v>141.428571428571</v>
      </c>
      <c r="E16" s="20" t="n">
        <f aca="false">A16*Calc_Reference!$B$3</f>
        <v>154.285714285714</v>
      </c>
      <c r="F16" s="10" t="str">
        <f aca="false">INDEX(Calc_Reference!$B$10:$B$21,INT(D16/30)+1)</f>
        <v>Leo</v>
      </c>
      <c r="G16" s="21" t="n">
        <f aca="false">MOD(D16,30)</f>
        <v>21.4285714285714</v>
      </c>
      <c r="H16" s="9" t="s">
        <v>190</v>
      </c>
      <c r="I16" s="9" t="s">
        <v>191</v>
      </c>
    </row>
    <row r="17" customFormat="false" ht="42" hidden="false" customHeight="true" outlineLevel="0" collapsed="false">
      <c r="A17" s="12" t="n">
        <v>13</v>
      </c>
      <c r="B17" s="11" t="s">
        <v>192</v>
      </c>
      <c r="C17" s="11" t="s">
        <v>193</v>
      </c>
      <c r="D17" s="18" t="n">
        <f aca="false">(A17-1)*Calc_Reference!$B$3</f>
        <v>154.285714285714</v>
      </c>
      <c r="E17" s="18" t="n">
        <f aca="false">A17*Calc_Reference!$B$3</f>
        <v>167.142857142857</v>
      </c>
      <c r="F17" s="12" t="str">
        <f aca="false">INDEX(Calc_Reference!$B$10:$B$21,INT(D17/30)+1)</f>
        <v>Virgo</v>
      </c>
      <c r="G17" s="19" t="n">
        <f aca="false">MOD(D17,30)</f>
        <v>4.28571428571428</v>
      </c>
      <c r="H17" s="11" t="s">
        <v>194</v>
      </c>
      <c r="I17" s="11" t="s">
        <v>195</v>
      </c>
    </row>
    <row r="18" customFormat="false" ht="42" hidden="false" customHeight="true" outlineLevel="0" collapsed="false">
      <c r="A18" s="10" t="n">
        <v>14</v>
      </c>
      <c r="B18" s="9" t="s">
        <v>196</v>
      </c>
      <c r="C18" s="9" t="s">
        <v>197</v>
      </c>
      <c r="D18" s="20" t="n">
        <f aca="false">(A18-1)*Calc_Reference!$B$3</f>
        <v>167.142857142857</v>
      </c>
      <c r="E18" s="20" t="n">
        <f aca="false">A18*Calc_Reference!$B$3</f>
        <v>180</v>
      </c>
      <c r="F18" s="10" t="str">
        <f aca="false">INDEX(Calc_Reference!$B$10:$B$21,INT(D18/30)+1)</f>
        <v>Virgo</v>
      </c>
      <c r="G18" s="21" t="n">
        <f aca="false">MOD(D18,30)</f>
        <v>17.1428571428571</v>
      </c>
      <c r="H18" s="9" t="s">
        <v>198</v>
      </c>
      <c r="I18" s="9" t="s">
        <v>199</v>
      </c>
    </row>
    <row r="19" customFormat="false" ht="42" hidden="false" customHeight="true" outlineLevel="0" collapsed="false">
      <c r="A19" s="12" t="n">
        <v>15</v>
      </c>
      <c r="B19" s="11" t="s">
        <v>200</v>
      </c>
      <c r="C19" s="11" t="s">
        <v>201</v>
      </c>
      <c r="D19" s="18" t="n">
        <f aca="false">(A19-1)*Calc_Reference!$B$3</f>
        <v>180</v>
      </c>
      <c r="E19" s="18" t="n">
        <f aca="false">A19*Calc_Reference!$B$3</f>
        <v>192.857142857143</v>
      </c>
      <c r="F19" s="12" t="str">
        <f aca="false">INDEX(Calc_Reference!$B$10:$B$21,INT(D19/30)+1)</f>
        <v>Libra</v>
      </c>
      <c r="G19" s="19" t="n">
        <f aca="false">MOD(D19,30)</f>
        <v>0</v>
      </c>
      <c r="H19" s="11" t="s">
        <v>202</v>
      </c>
      <c r="I19" s="11" t="s">
        <v>203</v>
      </c>
    </row>
    <row r="20" customFormat="false" ht="42" hidden="false" customHeight="true" outlineLevel="0" collapsed="false">
      <c r="A20" s="10" t="n">
        <v>16</v>
      </c>
      <c r="B20" s="9" t="s">
        <v>204</v>
      </c>
      <c r="C20" s="9" t="s">
        <v>205</v>
      </c>
      <c r="D20" s="20" t="n">
        <f aca="false">(A20-1)*Calc_Reference!$B$3</f>
        <v>192.857142857143</v>
      </c>
      <c r="E20" s="20" t="n">
        <f aca="false">A20*Calc_Reference!$B$3</f>
        <v>205.714285714286</v>
      </c>
      <c r="F20" s="10" t="str">
        <f aca="false">INDEX(Calc_Reference!$B$10:$B$21,INT(D20/30)+1)</f>
        <v>Libra</v>
      </c>
      <c r="G20" s="21" t="n">
        <f aca="false">MOD(D20,30)</f>
        <v>12.8571428571429</v>
      </c>
      <c r="H20" s="9" t="s">
        <v>206</v>
      </c>
      <c r="I20" s="9" t="s">
        <v>207</v>
      </c>
    </row>
    <row r="21" customFormat="false" ht="42" hidden="false" customHeight="true" outlineLevel="0" collapsed="false">
      <c r="A21" s="12" t="n">
        <v>17</v>
      </c>
      <c r="B21" s="11" t="s">
        <v>208</v>
      </c>
      <c r="C21" s="11" t="s">
        <v>209</v>
      </c>
      <c r="D21" s="18" t="n">
        <f aca="false">(A21-1)*Calc_Reference!$B$3</f>
        <v>205.714285714286</v>
      </c>
      <c r="E21" s="18" t="n">
        <f aca="false">A21*Calc_Reference!$B$3</f>
        <v>218.571428571429</v>
      </c>
      <c r="F21" s="12" t="str">
        <f aca="false">INDEX(Calc_Reference!$B$10:$B$21,INT(D21/30)+1)</f>
        <v>Libra</v>
      </c>
      <c r="G21" s="19" t="n">
        <f aca="false">MOD(D21,30)</f>
        <v>25.7142857142857</v>
      </c>
      <c r="H21" s="11" t="s">
        <v>210</v>
      </c>
      <c r="I21" s="11" t="s">
        <v>211</v>
      </c>
    </row>
    <row r="22" customFormat="false" ht="42" hidden="false" customHeight="true" outlineLevel="0" collapsed="false">
      <c r="A22" s="10" t="n">
        <v>18</v>
      </c>
      <c r="B22" s="9" t="s">
        <v>212</v>
      </c>
      <c r="C22" s="9" t="s">
        <v>213</v>
      </c>
      <c r="D22" s="20" t="n">
        <f aca="false">(A22-1)*Calc_Reference!$B$3</f>
        <v>218.571428571429</v>
      </c>
      <c r="E22" s="20" t="n">
        <f aca="false">A22*Calc_Reference!$B$3</f>
        <v>231.428571428571</v>
      </c>
      <c r="F22" s="10" t="str">
        <f aca="false">INDEX(Calc_Reference!$B$10:$B$21,INT(D22/30)+1)</f>
        <v>Scorpio</v>
      </c>
      <c r="G22" s="21" t="n">
        <f aca="false">MOD(D22,30)</f>
        <v>8.57142857142858</v>
      </c>
      <c r="H22" s="9" t="s">
        <v>214</v>
      </c>
      <c r="I22" s="9" t="s">
        <v>215</v>
      </c>
    </row>
    <row r="23" customFormat="false" ht="42" hidden="false" customHeight="true" outlineLevel="0" collapsed="false">
      <c r="A23" s="12" t="n">
        <v>19</v>
      </c>
      <c r="B23" s="11" t="s">
        <v>216</v>
      </c>
      <c r="C23" s="11" t="s">
        <v>217</v>
      </c>
      <c r="D23" s="18" t="n">
        <f aca="false">(A23-1)*Calc_Reference!$B$3</f>
        <v>231.428571428571</v>
      </c>
      <c r="E23" s="18" t="n">
        <f aca="false">A23*Calc_Reference!$B$3</f>
        <v>244.285714285714</v>
      </c>
      <c r="F23" s="12" t="str">
        <f aca="false">INDEX(Calc_Reference!$B$10:$B$21,INT(D23/30)+1)</f>
        <v>Scorpio</v>
      </c>
      <c r="G23" s="19" t="n">
        <f aca="false">MOD(D23,30)</f>
        <v>21.4285714285714</v>
      </c>
      <c r="H23" s="11" t="s">
        <v>218</v>
      </c>
      <c r="I23" s="11" t="s">
        <v>219</v>
      </c>
    </row>
    <row r="24" customFormat="false" ht="42" hidden="false" customHeight="true" outlineLevel="0" collapsed="false">
      <c r="A24" s="10" t="n">
        <v>20</v>
      </c>
      <c r="B24" s="9" t="s">
        <v>220</v>
      </c>
      <c r="C24" s="9" t="s">
        <v>221</v>
      </c>
      <c r="D24" s="20" t="n">
        <f aca="false">(A24-1)*Calc_Reference!$B$3</f>
        <v>244.285714285714</v>
      </c>
      <c r="E24" s="20" t="n">
        <f aca="false">A24*Calc_Reference!$B$3</f>
        <v>257.142857142857</v>
      </c>
      <c r="F24" s="10" t="str">
        <f aca="false">INDEX(Calc_Reference!$B$10:$B$21,INT(D24/30)+1)</f>
        <v>Sagittarius</v>
      </c>
      <c r="G24" s="21" t="n">
        <f aca="false">MOD(D24,30)</f>
        <v>4.28571428571431</v>
      </c>
      <c r="H24" s="9" t="s">
        <v>222</v>
      </c>
      <c r="I24" s="9" t="s">
        <v>223</v>
      </c>
    </row>
    <row r="25" customFormat="false" ht="42" hidden="false" customHeight="true" outlineLevel="0" collapsed="false">
      <c r="A25" s="12" t="n">
        <v>21</v>
      </c>
      <c r="B25" s="11" t="s">
        <v>224</v>
      </c>
      <c r="C25" s="11" t="s">
        <v>225</v>
      </c>
      <c r="D25" s="18" t="n">
        <f aca="false">(A25-1)*Calc_Reference!$B$3</f>
        <v>257.142857142857</v>
      </c>
      <c r="E25" s="18" t="n">
        <f aca="false">A25*Calc_Reference!$B$3</f>
        <v>270</v>
      </c>
      <c r="F25" s="12" t="str">
        <f aca="false">INDEX(Calc_Reference!$B$10:$B$21,INT(D25/30)+1)</f>
        <v>Sagittarius</v>
      </c>
      <c r="G25" s="19" t="n">
        <f aca="false">MOD(D25,30)</f>
        <v>17.1428571428572</v>
      </c>
      <c r="H25" s="11" t="s">
        <v>226</v>
      </c>
      <c r="I25" s="11" t="s">
        <v>227</v>
      </c>
    </row>
    <row r="26" customFormat="false" ht="42" hidden="false" customHeight="true" outlineLevel="0" collapsed="false">
      <c r="A26" s="10" t="n">
        <v>22</v>
      </c>
      <c r="B26" s="9" t="s">
        <v>228</v>
      </c>
      <c r="C26" s="9" t="s">
        <v>229</v>
      </c>
      <c r="D26" s="20" t="n">
        <f aca="false">(A26-1)*Calc_Reference!$B$3</f>
        <v>270</v>
      </c>
      <c r="E26" s="20" t="n">
        <f aca="false">A26*Calc_Reference!$B$3</f>
        <v>282.857142857143</v>
      </c>
      <c r="F26" s="10" t="str">
        <f aca="false">INDEX(Calc_Reference!$B$10:$B$21,INT(D26/30)+1)</f>
        <v>Capricorn</v>
      </c>
      <c r="G26" s="21" t="n">
        <f aca="false">MOD(D26,30)</f>
        <v>0</v>
      </c>
      <c r="H26" s="9" t="s">
        <v>230</v>
      </c>
      <c r="I26" s="9" t="s">
        <v>231</v>
      </c>
    </row>
    <row r="27" customFormat="false" ht="42" hidden="false" customHeight="true" outlineLevel="0" collapsed="false">
      <c r="A27" s="12" t="n">
        <v>23</v>
      </c>
      <c r="B27" s="11" t="s">
        <v>232</v>
      </c>
      <c r="C27" s="11" t="s">
        <v>233</v>
      </c>
      <c r="D27" s="18" t="n">
        <f aca="false">(A27-1)*Calc_Reference!$B$3</f>
        <v>282.857142857143</v>
      </c>
      <c r="E27" s="18" t="n">
        <f aca="false">A27*Calc_Reference!$B$3</f>
        <v>295.714285714286</v>
      </c>
      <c r="F27" s="12" t="str">
        <f aca="false">INDEX(Calc_Reference!$B$10:$B$21,INT(D27/30)+1)</f>
        <v>Capricorn</v>
      </c>
      <c r="G27" s="19" t="n">
        <f aca="false">MOD(D27,30)</f>
        <v>12.8571428571429</v>
      </c>
      <c r="H27" s="11" t="s">
        <v>234</v>
      </c>
      <c r="I27" s="11" t="s">
        <v>235</v>
      </c>
    </row>
    <row r="28" customFormat="false" ht="42" hidden="false" customHeight="true" outlineLevel="0" collapsed="false">
      <c r="A28" s="10" t="n">
        <v>24</v>
      </c>
      <c r="B28" s="9" t="s">
        <v>236</v>
      </c>
      <c r="C28" s="9" t="s">
        <v>237</v>
      </c>
      <c r="D28" s="20" t="n">
        <f aca="false">(A28-1)*Calc_Reference!$B$3</f>
        <v>295.714285714286</v>
      </c>
      <c r="E28" s="20" t="n">
        <f aca="false">A28*Calc_Reference!$B$3</f>
        <v>308.571428571429</v>
      </c>
      <c r="F28" s="10" t="str">
        <f aca="false">INDEX(Calc_Reference!$B$10:$B$21,INT(D28/30)+1)</f>
        <v>Capricorn</v>
      </c>
      <c r="G28" s="21" t="n">
        <f aca="false">MOD(D28,30)</f>
        <v>25.7142857142857</v>
      </c>
      <c r="H28" s="9" t="s">
        <v>238</v>
      </c>
      <c r="I28" s="9" t="s">
        <v>239</v>
      </c>
    </row>
    <row r="29" customFormat="false" ht="42" hidden="false" customHeight="true" outlineLevel="0" collapsed="false">
      <c r="A29" s="12" t="n">
        <v>25</v>
      </c>
      <c r="B29" s="11" t="s">
        <v>240</v>
      </c>
      <c r="C29" s="11" t="s">
        <v>241</v>
      </c>
      <c r="D29" s="18" t="n">
        <f aca="false">(A29-1)*Calc_Reference!$B$3</f>
        <v>308.571428571429</v>
      </c>
      <c r="E29" s="18" t="n">
        <f aca="false">A29*Calc_Reference!$B$3</f>
        <v>321.428571428571</v>
      </c>
      <c r="F29" s="12" t="str">
        <f aca="false">INDEX(Calc_Reference!$B$10:$B$21,INT(D29/30)+1)</f>
        <v>Aquarius</v>
      </c>
      <c r="G29" s="19" t="n">
        <f aca="false">MOD(D29,30)</f>
        <v>8.57142857142856</v>
      </c>
      <c r="H29" s="11" t="s">
        <v>242</v>
      </c>
      <c r="I29" s="11" t="s">
        <v>243</v>
      </c>
    </row>
    <row r="30" customFormat="false" ht="42" hidden="false" customHeight="true" outlineLevel="0" collapsed="false">
      <c r="A30" s="10" t="n">
        <v>26</v>
      </c>
      <c r="B30" s="9" t="s">
        <v>244</v>
      </c>
      <c r="C30" s="9" t="s">
        <v>245</v>
      </c>
      <c r="D30" s="20" t="n">
        <f aca="false">(A30-1)*Calc_Reference!$B$3</f>
        <v>321.428571428571</v>
      </c>
      <c r="E30" s="20" t="n">
        <f aca="false">A30*Calc_Reference!$B$3</f>
        <v>334.285714285714</v>
      </c>
      <c r="F30" s="10" t="str">
        <f aca="false">INDEX(Calc_Reference!$B$10:$B$21,INT(D30/30)+1)</f>
        <v>Aquarius</v>
      </c>
      <c r="G30" s="21" t="n">
        <f aca="false">MOD(D30,30)</f>
        <v>21.4285714285714</v>
      </c>
      <c r="H30" s="9" t="s">
        <v>246</v>
      </c>
      <c r="I30" s="9" t="s">
        <v>247</v>
      </c>
    </row>
    <row r="31" customFormat="false" ht="42" hidden="false" customHeight="true" outlineLevel="0" collapsed="false">
      <c r="A31" s="12" t="n">
        <v>27</v>
      </c>
      <c r="B31" s="11" t="s">
        <v>248</v>
      </c>
      <c r="C31" s="11" t="s">
        <v>249</v>
      </c>
      <c r="D31" s="18" t="n">
        <f aca="false">(A31-1)*Calc_Reference!$B$3</f>
        <v>334.285714285714</v>
      </c>
      <c r="E31" s="18" t="n">
        <f aca="false">A31*Calc_Reference!$B$3</f>
        <v>347.142857142857</v>
      </c>
      <c r="F31" s="12" t="str">
        <f aca="false">INDEX(Calc_Reference!$B$10:$B$21,INT(D31/30)+1)</f>
        <v>Pisces</v>
      </c>
      <c r="G31" s="19" t="n">
        <f aca="false">MOD(D31,30)</f>
        <v>4.28571428571428</v>
      </c>
      <c r="H31" s="11" t="s">
        <v>250</v>
      </c>
      <c r="I31" s="11" t="s">
        <v>251</v>
      </c>
    </row>
    <row r="32" customFormat="false" ht="42" hidden="false" customHeight="true" outlineLevel="0" collapsed="false">
      <c r="A32" s="10" t="n">
        <v>28</v>
      </c>
      <c r="B32" s="9" t="s">
        <v>252</v>
      </c>
      <c r="C32" s="9" t="s">
        <v>253</v>
      </c>
      <c r="D32" s="20" t="n">
        <f aca="false">(A32-1)*Calc_Reference!$B$3</f>
        <v>347.142857142857</v>
      </c>
      <c r="E32" s="20" t="n">
        <f aca="false">A32*Calc_Reference!$B$3</f>
        <v>360</v>
      </c>
      <c r="F32" s="10" t="str">
        <f aca="false">INDEX(Calc_Reference!$B$10:$B$21,INT(D32/30)+1)</f>
        <v>Pisces</v>
      </c>
      <c r="G32" s="21" t="n">
        <f aca="false">MOD(D32,30)</f>
        <v>17.1428571428572</v>
      </c>
      <c r="H32" s="9" t="s">
        <v>254</v>
      </c>
      <c r="I32" s="9" t="s">
        <v>255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0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5" t="s">
        <v>256</v>
      </c>
    </row>
    <row r="2" customFormat="false" ht="23.85" hidden="false" customHeight="true" outlineLevel="0" collapsed="false">
      <c r="A2" s="16" t="s">
        <v>257</v>
      </c>
      <c r="B2" s="16"/>
      <c r="C2" s="16"/>
      <c r="D2" s="16"/>
    </row>
    <row r="4" customFormat="false" ht="15" hidden="false" customHeight="false" outlineLevel="0" collapsed="false">
      <c r="A4" s="17" t="s">
        <v>258</v>
      </c>
      <c r="B4" s="17" t="s">
        <v>259</v>
      </c>
      <c r="C4" s="17" t="s">
        <v>260</v>
      </c>
      <c r="D4" s="17" t="s">
        <v>101</v>
      </c>
    </row>
    <row r="5" customFormat="false" ht="15" hidden="false" customHeight="false" outlineLevel="0" collapsed="false">
      <c r="A5" s="11" t="s">
        <v>261</v>
      </c>
      <c r="B5" s="11" t="s">
        <v>262</v>
      </c>
      <c r="C5" s="11" t="s">
        <v>263</v>
      </c>
      <c r="D5" s="11" t="s">
        <v>264</v>
      </c>
    </row>
    <row r="6" customFormat="false" ht="15" hidden="false" customHeight="false" outlineLevel="0" collapsed="false">
      <c r="A6" s="9" t="s">
        <v>265</v>
      </c>
      <c r="B6" s="9" t="s">
        <v>266</v>
      </c>
      <c r="C6" s="9" t="s">
        <v>267</v>
      </c>
      <c r="D6" s="9" t="s">
        <v>268</v>
      </c>
    </row>
    <row r="7" customFormat="false" ht="15" hidden="false" customHeight="false" outlineLevel="0" collapsed="false">
      <c r="A7" s="11" t="s">
        <v>269</v>
      </c>
      <c r="B7" s="11" t="s">
        <v>270</v>
      </c>
      <c r="C7" s="11" t="s">
        <v>271</v>
      </c>
      <c r="D7" s="11" t="s">
        <v>264</v>
      </c>
    </row>
    <row r="8" customFormat="false" ht="23.85" hidden="false" customHeight="false" outlineLevel="0" collapsed="false">
      <c r="A8" s="9" t="s">
        <v>272</v>
      </c>
      <c r="B8" s="9" t="s">
        <v>273</v>
      </c>
      <c r="C8" s="9" t="s">
        <v>274</v>
      </c>
      <c r="D8" s="9" t="s">
        <v>275</v>
      </c>
    </row>
    <row r="9" customFormat="false" ht="15" hidden="false" customHeight="false" outlineLevel="0" collapsed="false">
      <c r="A9" s="11" t="s">
        <v>276</v>
      </c>
      <c r="B9" s="11" t="s">
        <v>277</v>
      </c>
      <c r="C9" s="11" t="s">
        <v>274</v>
      </c>
      <c r="D9" s="11" t="s">
        <v>278</v>
      </c>
    </row>
    <row r="10" customFormat="false" ht="15" hidden="false" customHeight="false" outlineLevel="0" collapsed="false">
      <c r="A10" s="9" t="s">
        <v>279</v>
      </c>
      <c r="B10" s="9" t="s">
        <v>280</v>
      </c>
      <c r="C10" s="9" t="s">
        <v>281</v>
      </c>
      <c r="D10" s="9" t="s">
        <v>264</v>
      </c>
    </row>
    <row r="11" customFormat="false" ht="15" hidden="false" customHeight="false" outlineLevel="0" collapsed="false">
      <c r="A11" s="11" t="s">
        <v>282</v>
      </c>
      <c r="B11" s="11" t="s">
        <v>283</v>
      </c>
      <c r="C11" s="11" t="s">
        <v>274</v>
      </c>
      <c r="D11" s="11" t="s">
        <v>264</v>
      </c>
    </row>
    <row r="12" customFormat="false" ht="15" hidden="false" customHeight="false" outlineLevel="0" collapsed="false">
      <c r="A12" s="9" t="s">
        <v>284</v>
      </c>
      <c r="B12" s="9" t="s">
        <v>285</v>
      </c>
      <c r="C12" s="9" t="s">
        <v>274</v>
      </c>
      <c r="D12" s="9" t="s">
        <v>264</v>
      </c>
    </row>
    <row r="13" customFormat="false" ht="23.85" hidden="false" customHeight="false" outlineLevel="0" collapsed="false">
      <c r="A13" s="11" t="s">
        <v>286</v>
      </c>
      <c r="B13" s="11" t="s">
        <v>287</v>
      </c>
      <c r="C13" s="11" t="s">
        <v>274</v>
      </c>
      <c r="D13" s="11" t="s">
        <v>264</v>
      </c>
    </row>
    <row r="14" customFormat="false" ht="23.85" hidden="false" customHeight="false" outlineLevel="0" collapsed="false">
      <c r="A14" s="9" t="s">
        <v>288</v>
      </c>
      <c r="B14" s="9" t="s">
        <v>289</v>
      </c>
      <c r="C14" s="9" t="s">
        <v>274</v>
      </c>
      <c r="D14" s="9" t="s">
        <v>264</v>
      </c>
    </row>
    <row r="15" customFormat="false" ht="23.85" hidden="false" customHeight="false" outlineLevel="0" collapsed="false">
      <c r="A15" s="11" t="s">
        <v>290</v>
      </c>
      <c r="B15" s="11" t="s">
        <v>291</v>
      </c>
      <c r="C15" s="11" t="s">
        <v>274</v>
      </c>
      <c r="D15" s="11" t="s">
        <v>292</v>
      </c>
    </row>
    <row r="16" customFormat="false" ht="23.85" hidden="false" customHeight="false" outlineLevel="0" collapsed="false">
      <c r="A16" s="9" t="s">
        <v>293</v>
      </c>
      <c r="B16" s="9" t="s">
        <v>294</v>
      </c>
      <c r="C16" s="9" t="s">
        <v>274</v>
      </c>
      <c r="D16" s="9" t="s">
        <v>295</v>
      </c>
    </row>
    <row r="17" customFormat="false" ht="23.85" hidden="false" customHeight="false" outlineLevel="0" collapsed="false">
      <c r="A17" s="11" t="s">
        <v>296</v>
      </c>
      <c r="B17" s="11" t="s">
        <v>297</v>
      </c>
      <c r="C17" s="11" t="s">
        <v>274</v>
      </c>
      <c r="D17" s="11" t="s">
        <v>264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9" min="8" style="0" width="40"/>
  </cols>
  <sheetData>
    <row r="1" customFormat="false" ht="16.15" hidden="false" customHeight="false" outlineLevel="0" collapsed="false">
      <c r="A1" s="15" t="s">
        <v>298</v>
      </c>
    </row>
    <row r="2" customFormat="false" ht="15" hidden="false" customHeight="true" outlineLevel="0" collapsed="false">
      <c r="A2" s="16" t="s">
        <v>299</v>
      </c>
      <c r="B2" s="16"/>
      <c r="C2" s="16"/>
      <c r="D2" s="16"/>
      <c r="E2" s="16"/>
      <c r="F2" s="16"/>
      <c r="G2" s="16"/>
      <c r="H2" s="16"/>
      <c r="I2" s="16"/>
    </row>
    <row r="4" customFormat="false" ht="26.85" hidden="false" customHeight="false" outlineLevel="0" collapsed="false">
      <c r="A4" s="17" t="s">
        <v>300</v>
      </c>
      <c r="B4" s="17" t="s">
        <v>301</v>
      </c>
      <c r="C4" s="17" t="s">
        <v>302</v>
      </c>
      <c r="D4" s="17" t="s">
        <v>303</v>
      </c>
      <c r="E4" s="17" t="s">
        <v>304</v>
      </c>
      <c r="F4" s="17" t="s">
        <v>305</v>
      </c>
      <c r="G4" s="17" t="s">
        <v>306</v>
      </c>
      <c r="H4" s="17" t="s">
        <v>307</v>
      </c>
      <c r="I4" s="17" t="s">
        <v>308</v>
      </c>
    </row>
    <row r="5" customFormat="false" ht="23.85" hidden="false" customHeight="false" outlineLevel="0" collapsed="false">
      <c r="A5" s="11" t="s">
        <v>7</v>
      </c>
      <c r="B5" s="11" t="s">
        <v>111</v>
      </c>
      <c r="C5" s="11" t="s">
        <v>118</v>
      </c>
      <c r="D5" s="11" t="s">
        <v>309</v>
      </c>
      <c r="E5" s="11" t="s">
        <v>102</v>
      </c>
      <c r="F5" s="11" t="s">
        <v>115</v>
      </c>
      <c r="G5" s="11" t="s">
        <v>107</v>
      </c>
      <c r="H5" s="11" t="s">
        <v>310</v>
      </c>
      <c r="I5" s="11" t="s">
        <v>311</v>
      </c>
    </row>
    <row r="6" customFormat="false" ht="23.85" hidden="false" customHeight="false" outlineLevel="0" collapsed="false">
      <c r="A6" s="9" t="s">
        <v>8</v>
      </c>
      <c r="B6" s="9" t="s">
        <v>118</v>
      </c>
      <c r="C6" s="9" t="s">
        <v>111</v>
      </c>
      <c r="D6" s="9" t="s">
        <v>312</v>
      </c>
      <c r="E6" s="9" t="s">
        <v>274</v>
      </c>
      <c r="F6" s="9" t="s">
        <v>118</v>
      </c>
      <c r="G6" s="9" t="s">
        <v>126</v>
      </c>
      <c r="H6" s="9" t="s">
        <v>313</v>
      </c>
      <c r="I6" s="9" t="s">
        <v>314</v>
      </c>
    </row>
    <row r="7" customFormat="false" ht="23.85" hidden="false" customHeight="false" outlineLevel="0" collapsed="false">
      <c r="A7" s="11" t="s">
        <v>9</v>
      </c>
      <c r="B7" s="11" t="s">
        <v>122</v>
      </c>
      <c r="C7" s="11" t="s">
        <v>107</v>
      </c>
      <c r="D7" s="11" t="s">
        <v>274</v>
      </c>
      <c r="E7" s="11" t="s">
        <v>274</v>
      </c>
      <c r="F7" s="11" t="s">
        <v>102</v>
      </c>
      <c r="G7" s="11" t="s">
        <v>122</v>
      </c>
      <c r="H7" s="11" t="s">
        <v>315</v>
      </c>
      <c r="I7" s="11" t="s">
        <v>316</v>
      </c>
    </row>
    <row r="8" customFormat="false" ht="23.85" hidden="false" customHeight="false" outlineLevel="0" collapsed="false">
      <c r="A8" s="9" t="s">
        <v>10</v>
      </c>
      <c r="B8" s="9" t="s">
        <v>126</v>
      </c>
      <c r="C8" s="9" t="s">
        <v>102</v>
      </c>
      <c r="D8" s="9" t="s">
        <v>317</v>
      </c>
      <c r="E8" s="9" t="s">
        <v>111</v>
      </c>
      <c r="F8" s="9" t="s">
        <v>111</v>
      </c>
      <c r="G8" s="9" t="s">
        <v>111</v>
      </c>
      <c r="H8" s="9" t="s">
        <v>318</v>
      </c>
      <c r="I8" s="9" t="s">
        <v>319</v>
      </c>
    </row>
    <row r="9" customFormat="false" ht="23.85" hidden="false" customHeight="false" outlineLevel="0" collapsed="false">
      <c r="A9" s="11" t="s">
        <v>11</v>
      </c>
      <c r="B9" s="11" t="s">
        <v>115</v>
      </c>
      <c r="C9" s="11" t="s">
        <v>102</v>
      </c>
      <c r="D9" s="11" t="s">
        <v>274</v>
      </c>
      <c r="E9" s="11" t="s">
        <v>274</v>
      </c>
      <c r="F9" s="11" t="s">
        <v>115</v>
      </c>
      <c r="G9" s="11" t="s">
        <v>107</v>
      </c>
      <c r="H9" s="11" t="s">
        <v>320</v>
      </c>
      <c r="I9" s="11" t="s">
        <v>321</v>
      </c>
    </row>
    <row r="10" customFormat="false" ht="23.85" hidden="false" customHeight="false" outlineLevel="0" collapsed="false">
      <c r="A10" s="9" t="s">
        <v>12</v>
      </c>
      <c r="B10" s="9" t="s">
        <v>122</v>
      </c>
      <c r="C10" s="9" t="s">
        <v>107</v>
      </c>
      <c r="D10" s="9" t="s">
        <v>322</v>
      </c>
      <c r="E10" s="9" t="s">
        <v>118</v>
      </c>
      <c r="F10" s="9" t="s">
        <v>118</v>
      </c>
      <c r="G10" s="9" t="s">
        <v>126</v>
      </c>
      <c r="H10" s="9" t="s">
        <v>323</v>
      </c>
      <c r="I10" s="9" t="s">
        <v>324</v>
      </c>
    </row>
    <row r="11" customFormat="false" ht="23.85" hidden="false" customHeight="false" outlineLevel="0" collapsed="false">
      <c r="A11" s="11" t="s">
        <v>13</v>
      </c>
      <c r="B11" s="11" t="s">
        <v>118</v>
      </c>
      <c r="C11" s="11" t="s">
        <v>111</v>
      </c>
      <c r="D11" s="11" t="s">
        <v>325</v>
      </c>
      <c r="E11" s="11" t="s">
        <v>115</v>
      </c>
      <c r="F11" s="11" t="s">
        <v>102</v>
      </c>
      <c r="G11" s="11" t="s">
        <v>122</v>
      </c>
      <c r="H11" s="11" t="s">
        <v>326</v>
      </c>
      <c r="I11" s="11" t="s">
        <v>327</v>
      </c>
    </row>
    <row r="12" customFormat="false" ht="23.85" hidden="false" customHeight="false" outlineLevel="0" collapsed="false">
      <c r="A12" s="9" t="s">
        <v>14</v>
      </c>
      <c r="B12" s="9" t="s">
        <v>111</v>
      </c>
      <c r="C12" s="9" t="s">
        <v>118</v>
      </c>
      <c r="D12" s="9" t="s">
        <v>274</v>
      </c>
      <c r="E12" s="9" t="s">
        <v>126</v>
      </c>
      <c r="F12" s="9" t="s">
        <v>111</v>
      </c>
      <c r="G12" s="9" t="s">
        <v>111</v>
      </c>
      <c r="H12" s="9" t="s">
        <v>328</v>
      </c>
      <c r="I12" s="9" t="s">
        <v>311</v>
      </c>
    </row>
    <row r="13" customFormat="false" ht="23.85" hidden="false" customHeight="false" outlineLevel="0" collapsed="false">
      <c r="A13" s="11" t="s">
        <v>15</v>
      </c>
      <c r="B13" s="11" t="s">
        <v>107</v>
      </c>
      <c r="C13" s="11" t="s">
        <v>122</v>
      </c>
      <c r="D13" s="11" t="s">
        <v>274</v>
      </c>
      <c r="E13" s="11" t="s">
        <v>274</v>
      </c>
      <c r="F13" s="11" t="s">
        <v>115</v>
      </c>
      <c r="G13" s="11" t="s">
        <v>107</v>
      </c>
      <c r="H13" s="11" t="s">
        <v>329</v>
      </c>
      <c r="I13" s="11" t="s">
        <v>314</v>
      </c>
    </row>
    <row r="14" customFormat="false" ht="23.85" hidden="false" customHeight="false" outlineLevel="0" collapsed="false">
      <c r="A14" s="9" t="s">
        <v>16</v>
      </c>
      <c r="B14" s="9" t="s">
        <v>102</v>
      </c>
      <c r="C14" s="9" t="s">
        <v>126</v>
      </c>
      <c r="D14" s="9" t="s">
        <v>330</v>
      </c>
      <c r="E14" s="9" t="s">
        <v>107</v>
      </c>
      <c r="F14" s="9" t="s">
        <v>118</v>
      </c>
      <c r="G14" s="9" t="s">
        <v>126</v>
      </c>
      <c r="H14" s="9" t="s">
        <v>331</v>
      </c>
      <c r="I14" s="9" t="s">
        <v>316</v>
      </c>
    </row>
    <row r="15" customFormat="false" ht="23.85" hidden="false" customHeight="false" outlineLevel="0" collapsed="false">
      <c r="A15" s="11" t="s">
        <v>17</v>
      </c>
      <c r="B15" s="11" t="s">
        <v>102</v>
      </c>
      <c r="C15" s="11" t="s">
        <v>115</v>
      </c>
      <c r="D15" s="11" t="s">
        <v>274</v>
      </c>
      <c r="E15" s="11" t="s">
        <v>274</v>
      </c>
      <c r="F15" s="11" t="s">
        <v>102</v>
      </c>
      <c r="G15" s="11" t="s">
        <v>122</v>
      </c>
      <c r="H15" s="11" t="s">
        <v>332</v>
      </c>
      <c r="I15" s="11" t="s">
        <v>319</v>
      </c>
    </row>
    <row r="16" customFormat="false" ht="23.85" hidden="false" customHeight="false" outlineLevel="0" collapsed="false">
      <c r="A16" s="9" t="s">
        <v>18</v>
      </c>
      <c r="B16" s="9" t="s">
        <v>107</v>
      </c>
      <c r="C16" s="9" t="s">
        <v>122</v>
      </c>
      <c r="D16" s="9" t="s">
        <v>333</v>
      </c>
      <c r="E16" s="9" t="s">
        <v>122</v>
      </c>
      <c r="F16" s="9" t="s">
        <v>111</v>
      </c>
      <c r="G16" s="9" t="s">
        <v>111</v>
      </c>
      <c r="H16" s="9" t="s">
        <v>334</v>
      </c>
      <c r="I16" s="9" t="s">
        <v>321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  <col collapsed="false" customWidth="true" hidden="false" outlineLevel="0" max="3" min="3" style="0" width="18"/>
  </cols>
  <sheetData>
    <row r="1" customFormat="false" ht="16.15" hidden="false" customHeight="false" outlineLevel="0" collapsed="false">
      <c r="A1" s="15" t="s">
        <v>335</v>
      </c>
    </row>
    <row r="3" customFormat="false" ht="15" hidden="false" customHeight="false" outlineLevel="0" collapsed="false">
      <c r="A3" s="17" t="s">
        <v>336</v>
      </c>
      <c r="B3" s="17" t="s">
        <v>337</v>
      </c>
      <c r="C3" s="17" t="s">
        <v>101</v>
      </c>
    </row>
    <row r="4" customFormat="false" ht="15" hidden="false" customHeight="false" outlineLevel="0" collapsed="false">
      <c r="A4" s="11" t="s">
        <v>338</v>
      </c>
      <c r="B4" s="11" t="s">
        <v>339</v>
      </c>
      <c r="C4" s="11" t="s">
        <v>340</v>
      </c>
    </row>
    <row r="5" customFormat="false" ht="15" hidden="false" customHeight="false" outlineLevel="0" collapsed="false">
      <c r="A5" s="9" t="s">
        <v>341</v>
      </c>
      <c r="B5" s="9" t="s">
        <v>342</v>
      </c>
      <c r="C5" s="9" t="s">
        <v>343</v>
      </c>
    </row>
    <row r="6" customFormat="false" ht="23.85" hidden="false" customHeight="false" outlineLevel="0" collapsed="false">
      <c r="A6" s="11" t="s">
        <v>344</v>
      </c>
      <c r="B6" s="11" t="s">
        <v>345</v>
      </c>
      <c r="C6" s="11" t="s">
        <v>264</v>
      </c>
    </row>
    <row r="7" customFormat="false" ht="15" hidden="false" customHeight="false" outlineLevel="0" collapsed="false">
      <c r="A7" s="9" t="s">
        <v>276</v>
      </c>
      <c r="B7" s="9" t="s">
        <v>346</v>
      </c>
      <c r="C7" s="9" t="s">
        <v>347</v>
      </c>
    </row>
    <row r="8" customFormat="false" ht="15" hidden="false" customHeight="false" outlineLevel="0" collapsed="false">
      <c r="A8" s="11" t="s">
        <v>348</v>
      </c>
      <c r="B8" s="11" t="s">
        <v>349</v>
      </c>
      <c r="C8" s="11" t="s">
        <v>264</v>
      </c>
    </row>
    <row r="9" customFormat="false" ht="15" hidden="false" customHeight="false" outlineLevel="0" collapsed="false">
      <c r="A9" s="9" t="s">
        <v>350</v>
      </c>
      <c r="B9" s="9" t="s">
        <v>351</v>
      </c>
      <c r="C9" s="9" t="s">
        <v>295</v>
      </c>
    </row>
    <row r="10" customFormat="false" ht="15" hidden="false" customHeight="false" outlineLevel="0" collapsed="false">
      <c r="A10" s="11" t="s">
        <v>352</v>
      </c>
      <c r="B10" s="11" t="s">
        <v>353</v>
      </c>
      <c r="C10" s="11" t="s">
        <v>354</v>
      </c>
    </row>
    <row r="11" customFormat="false" ht="15" hidden="false" customHeight="false" outlineLevel="0" collapsed="false">
      <c r="A11" s="9" t="s">
        <v>355</v>
      </c>
      <c r="B11" s="9" t="s">
        <v>356</v>
      </c>
      <c r="C11" s="9" t="s">
        <v>354</v>
      </c>
    </row>
    <row r="12" customFormat="false" ht="15" hidden="false" customHeight="false" outlineLevel="0" collapsed="false">
      <c r="A12" s="11" t="s">
        <v>357</v>
      </c>
      <c r="B12" s="11" t="s">
        <v>358</v>
      </c>
      <c r="C12" s="11" t="s">
        <v>264</v>
      </c>
    </row>
    <row r="13" customFormat="false" ht="15" hidden="false" customHeight="false" outlineLevel="0" collapsed="false">
      <c r="A13" s="9" t="s">
        <v>359</v>
      </c>
      <c r="B13" s="9" t="s">
        <v>360</v>
      </c>
      <c r="C13" s="9" t="s">
        <v>264</v>
      </c>
    </row>
    <row r="14" customFormat="false" ht="23.85" hidden="false" customHeight="false" outlineLevel="0" collapsed="false">
      <c r="A14" s="11" t="s">
        <v>361</v>
      </c>
      <c r="B14" s="11" t="s">
        <v>362</v>
      </c>
      <c r="C14" s="11" t="s">
        <v>363</v>
      </c>
    </row>
    <row r="15" customFormat="false" ht="23.85" hidden="false" customHeight="false" outlineLevel="0" collapsed="false">
      <c r="A15" s="9" t="s">
        <v>364</v>
      </c>
      <c r="B15" s="9" t="s">
        <v>365</v>
      </c>
      <c r="C15" s="9" t="s">
        <v>363</v>
      </c>
    </row>
    <row r="16" customFormat="false" ht="23.85" hidden="false" customHeight="false" outlineLevel="0" collapsed="false">
      <c r="A16" s="11" t="s">
        <v>366</v>
      </c>
      <c r="B16" s="11" t="s">
        <v>367</v>
      </c>
      <c r="C16" s="11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2026-06-25T01:46:50Z</dcterms:created>
  <dc:creator>openpyxl</dc:creator>
  <dc:description/>
  <dc:language>en-US</dc:language>
  <cp:lastModifiedBy/>
  <dcterms:modified xsi:type="dcterms:W3CDTF">2026-06-25T01:46:50Z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